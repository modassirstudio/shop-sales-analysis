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xr:revisionPtr revIDLastSave="2591" documentId="11_E60897F41BE170836B02CE998F75CCDC64E183C8" xr6:coauthVersionLast="47" xr6:coauthVersionMax="47" xr10:uidLastSave="{54566C0B-4CBF-4B40-AE57-80556D4B9CB9}"/>
  <bookViews>
    <workbookView xWindow="240" yWindow="105" windowWidth="14805" windowHeight="8010" firstSheet="6" xr2:uid="{00000000-000D-0000-FFFF-FFFF00000000}"/>
  </bookViews>
  <sheets>
    <sheet name="Cover_Page" sheetId="2" r:id="rId1"/>
    <sheet name="Raw_Data" sheetId="5" r:id="rId2"/>
    <sheet name="Pivot_Analysis - Week - 1" sheetId="7" state="hidden" r:id="rId3"/>
    <sheet name="Pivot_Analysis - Week -  2" sheetId="8" state="hidden" r:id="rId4"/>
    <sheet name="Pivot_Analysis - Week - 3" sheetId="9" state="hidden" r:id="rId5"/>
    <sheet name="Pivot_Analysis - Week - 4" sheetId="10" state="hidden" r:id="rId6"/>
    <sheet name="Pivot_Analysis - Week - 6" sheetId="12" r:id="rId7"/>
    <sheet name="Pivot_Analysis - Week - 5" sheetId="11" state="hidden" r:id="rId8"/>
    <sheet name="Dashboard" sheetId="4" r:id="rId9"/>
  </sheets>
  <calcPr calcId="191028"/>
  <pivotCaches>
    <pivotCache cacheId="21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75" i="5" l="1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67" i="5"/>
  <c r="G168" i="5"/>
  <c r="G169" i="5"/>
  <c r="G170" i="5"/>
  <c r="G171" i="5"/>
  <c r="G172" i="5"/>
  <c r="G173" i="5"/>
  <c r="H167" i="5"/>
  <c r="H168" i="5"/>
  <c r="H169" i="5"/>
  <c r="H170" i="5"/>
  <c r="H171" i="5"/>
  <c r="H172" i="5"/>
  <c r="H173" i="5"/>
  <c r="I167" i="5"/>
  <c r="I168" i="5"/>
  <c r="I169" i="5"/>
  <c r="I170" i="5"/>
  <c r="I171" i="5"/>
  <c r="I172" i="5"/>
  <c r="I173" i="5"/>
  <c r="G160" i="5"/>
  <c r="G161" i="5"/>
  <c r="G162" i="5"/>
  <c r="G163" i="5"/>
  <c r="G164" i="5"/>
  <c r="G165" i="5"/>
  <c r="G166" i="5"/>
  <c r="H160" i="5"/>
  <c r="H161" i="5"/>
  <c r="H162" i="5"/>
  <c r="H163" i="5"/>
  <c r="H164" i="5"/>
  <c r="H165" i="5"/>
  <c r="H166" i="5"/>
  <c r="I160" i="5"/>
  <c r="I161" i="5"/>
  <c r="I162" i="5"/>
  <c r="I163" i="5"/>
  <c r="I164" i="5"/>
  <c r="I165" i="5"/>
  <c r="I166" i="5"/>
  <c r="G159" i="5"/>
  <c r="H159" i="5"/>
  <c r="I159" i="5"/>
  <c r="G152" i="5"/>
  <c r="G153" i="5"/>
  <c r="G154" i="5"/>
  <c r="G155" i="5"/>
  <c r="G156" i="5"/>
  <c r="G157" i="5"/>
  <c r="G158" i="5"/>
  <c r="H152" i="5"/>
  <c r="H153" i="5"/>
  <c r="H154" i="5"/>
  <c r="H155" i="5"/>
  <c r="H156" i="5"/>
  <c r="H157" i="5"/>
  <c r="H158" i="5"/>
  <c r="I152" i="5"/>
  <c r="I153" i="5"/>
  <c r="I154" i="5"/>
  <c r="I155" i="5"/>
  <c r="I156" i="5"/>
  <c r="I157" i="5"/>
  <c r="I158" i="5"/>
  <c r="G151" i="5"/>
  <c r="H151" i="5"/>
  <c r="I151" i="5"/>
  <c r="G150" i="5"/>
  <c r="H150" i="5"/>
  <c r="I150" i="5"/>
  <c r="G149" i="5"/>
  <c r="H149" i="5"/>
  <c r="I149" i="5"/>
  <c r="G148" i="5"/>
  <c r="H148" i="5"/>
  <c r="I148" i="5"/>
  <c r="G147" i="5"/>
  <c r="H147" i="5"/>
  <c r="I147" i="5"/>
  <c r="G146" i="5"/>
  <c r="H146" i="5"/>
  <c r="I146" i="5"/>
  <c r="G145" i="5"/>
  <c r="H145" i="5"/>
  <c r="I145" i="5"/>
  <c r="G144" i="5"/>
  <c r="H144" i="5"/>
  <c r="I144" i="5"/>
  <c r="G143" i="5"/>
  <c r="H143" i="5"/>
  <c r="I143" i="5"/>
  <c r="G141" i="5"/>
  <c r="G142" i="5"/>
  <c r="H141" i="5"/>
  <c r="H142" i="5"/>
  <c r="I141" i="5"/>
  <c r="I142" i="5"/>
  <c r="G140" i="5"/>
  <c r="H140" i="5"/>
  <c r="I140" i="5"/>
  <c r="G139" i="5"/>
  <c r="H139" i="5"/>
  <c r="I139" i="5"/>
  <c r="G138" i="5"/>
  <c r="H138" i="5"/>
  <c r="I138" i="5"/>
  <c r="G137" i="5"/>
  <c r="H137" i="5"/>
  <c r="I137" i="5"/>
  <c r="G136" i="5"/>
  <c r="H136" i="5"/>
  <c r="I136" i="5"/>
  <c r="G135" i="5"/>
  <c r="H135" i="5"/>
  <c r="I135" i="5"/>
  <c r="G134" i="5"/>
  <c r="H134" i="5"/>
  <c r="I134" i="5"/>
  <c r="G133" i="5"/>
  <c r="H133" i="5"/>
  <c r="I133" i="5"/>
  <c r="G132" i="5"/>
  <c r="H132" i="5"/>
  <c r="I132" i="5"/>
  <c r="G131" i="5"/>
  <c r="H131" i="5"/>
  <c r="I131" i="5"/>
  <c r="G130" i="5"/>
  <c r="H130" i="5"/>
  <c r="I130" i="5"/>
  <c r="G129" i="5"/>
  <c r="H129" i="5"/>
  <c r="I129" i="5"/>
  <c r="G128" i="5"/>
  <c r="H128" i="5"/>
  <c r="I128" i="5"/>
  <c r="G127" i="5"/>
  <c r="H127" i="5"/>
  <c r="I127" i="5"/>
  <c r="G126" i="5"/>
  <c r="H126" i="5"/>
  <c r="I126" i="5"/>
  <c r="G125" i="5"/>
  <c r="H125" i="5"/>
  <c r="I125" i="5"/>
  <c r="G124" i="5"/>
  <c r="H124" i="5"/>
  <c r="I124" i="5"/>
  <c r="G123" i="5"/>
  <c r="H123" i="5"/>
  <c r="I123" i="5"/>
  <c r="G122" i="5"/>
  <c r="H122" i="5"/>
  <c r="I122" i="5"/>
  <c r="G121" i="5"/>
  <c r="H121" i="5"/>
  <c r="I121" i="5"/>
  <c r="G120" i="5"/>
  <c r="H120" i="5"/>
  <c r="I120" i="5"/>
  <c r="G119" i="5"/>
  <c r="H119" i="5"/>
  <c r="I119" i="5"/>
  <c r="G118" i="5"/>
  <c r="H118" i="5"/>
  <c r="I118" i="5"/>
  <c r="G117" i="5"/>
  <c r="H117" i="5"/>
  <c r="I117" i="5"/>
  <c r="G116" i="5"/>
  <c r="H116" i="5"/>
  <c r="I116" i="5"/>
  <c r="G115" i="5"/>
  <c r="H115" i="5"/>
  <c r="I115" i="5"/>
  <c r="G114" i="5"/>
  <c r="H114" i="5"/>
  <c r="I114" i="5"/>
  <c r="G113" i="5"/>
  <c r="H113" i="5"/>
  <c r="I113" i="5"/>
  <c r="G112" i="5"/>
  <c r="H112" i="5"/>
  <c r="I112" i="5"/>
  <c r="G111" i="5"/>
  <c r="H111" i="5"/>
  <c r="I111" i="5"/>
  <c r="G110" i="5"/>
  <c r="H110" i="5"/>
  <c r="I110" i="5"/>
  <c r="G109" i="5"/>
  <c r="H109" i="5"/>
  <c r="I109" i="5"/>
  <c r="G108" i="5"/>
  <c r="H108" i="5"/>
  <c r="I108" i="5"/>
  <c r="G107" i="5"/>
  <c r="H107" i="5"/>
  <c r="I107" i="5"/>
  <c r="G106" i="5"/>
  <c r="H106" i="5"/>
  <c r="I106" i="5"/>
  <c r="G105" i="5"/>
  <c r="H105" i="5"/>
  <c r="I105" i="5"/>
  <c r="H104" i="5"/>
  <c r="G104" i="5"/>
  <c r="I104" i="5"/>
  <c r="G103" i="5"/>
  <c r="H103" i="5"/>
  <c r="I103" i="5"/>
  <c r="G102" i="5"/>
  <c r="H102" i="5"/>
  <c r="I102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G60" i="5"/>
  <c r="H60" i="5"/>
  <c r="I60" i="5"/>
  <c r="G59" i="5"/>
  <c r="H59" i="5"/>
  <c r="I59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G57" i="5"/>
  <c r="G58" i="5"/>
  <c r="H57" i="5"/>
  <c r="H58" i="5"/>
  <c r="H3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G3" i="5"/>
</calcChain>
</file>

<file path=xl/sharedStrings.xml><?xml version="1.0" encoding="utf-8"?>
<sst xmlns="http://schemas.openxmlformats.org/spreadsheetml/2006/main" count="1171" uniqueCount="219">
  <si>
    <r>
      <rPr>
        <b/>
        <sz val="19"/>
        <color theme="0"/>
        <rFont val="Calibri"/>
        <scheme val="minor"/>
      </rPr>
      <t xml:space="preserve">SHOP SALES ANALYSIS REPORT
</t>
    </r>
    <r>
      <rPr>
        <b/>
        <sz val="18"/>
        <color theme="0"/>
        <rFont val="Calibri"/>
        <scheme val="minor"/>
      </rPr>
      <t>Weekly Sales &amp; Profit Performance</t>
    </r>
  </si>
  <si>
    <r>
      <rPr>
        <b/>
        <sz val="13"/>
        <color rgb="FF1F4E78"/>
        <rFont val="Calibri"/>
        <scheme val="minor"/>
      </rPr>
      <t xml:space="preserve">Prepared By :
</t>
    </r>
    <r>
      <rPr>
        <sz val="13"/>
        <color rgb="FF000000"/>
        <rFont val="Calibri"/>
        <scheme val="minor"/>
      </rPr>
      <t xml:space="preserve">Md Modassir
</t>
    </r>
    <r>
      <rPr>
        <sz val="13"/>
        <color rgb="FF1F4E78"/>
        <rFont val="Calibri"/>
        <scheme val="minor"/>
      </rPr>
      <t xml:space="preserve">
</t>
    </r>
    <r>
      <rPr>
        <b/>
        <sz val="13"/>
        <color rgb="FF1F4E78"/>
        <rFont val="Calibri"/>
        <scheme val="minor"/>
      </rPr>
      <t xml:space="preserve">Tools : 
</t>
    </r>
    <r>
      <rPr>
        <sz val="13"/>
        <color rgb="FF000000"/>
        <rFont val="Calibri"/>
        <scheme val="minor"/>
      </rPr>
      <t xml:space="preserve">Microsoft Excel
</t>
    </r>
    <r>
      <rPr>
        <b/>
        <sz val="13"/>
        <color rgb="FF1F4E78"/>
        <rFont val="Calibri"/>
        <scheme val="minor"/>
      </rPr>
      <t xml:space="preserve">
Objective : 
</t>
    </r>
    <r>
      <rPr>
        <sz val="13"/>
        <color rgb="FF000000"/>
        <rFont val="Calibri"/>
        <scheme val="minor"/>
      </rPr>
      <t xml:space="preserve">Analyze weekly sales and profit trends.
Idetify top-performing products.
Evaluate overall weekly business performance.
</t>
    </r>
    <r>
      <rPr>
        <b/>
        <sz val="13"/>
        <color rgb="FF1F4E78"/>
        <rFont val="Calibri"/>
        <scheme val="minor"/>
      </rPr>
      <t xml:space="preserve">
Data Source : 
</t>
    </r>
    <r>
      <rPr>
        <sz val="13"/>
        <color rgb="FF000000"/>
        <rFont val="Calibri"/>
        <scheme val="minor"/>
      </rPr>
      <t>Real Shop Sales Record.</t>
    </r>
  </si>
  <si>
    <t>WEEK 1: 03 Aug 2026 - 09 Aug 2026</t>
  </si>
  <si>
    <t>WEEK 2: 10 Aug 2026 - 16 Aug 2026</t>
  </si>
  <si>
    <t>WEEK 3: 17 Aug 2026 - 23 Aug 2026</t>
  </si>
  <si>
    <t>WEEK 4: 24 Aug 2026 - 30 Aug 2026</t>
  </si>
  <si>
    <r>
      <rPr>
        <b/>
        <sz val="12"/>
        <color rgb="FF1F4E78"/>
        <rFont val="Calibri"/>
        <scheme val="minor"/>
      </rPr>
      <t xml:space="preserve">Total Profit: </t>
    </r>
    <r>
      <rPr>
        <b/>
        <sz val="12"/>
        <color rgb="FF000000"/>
        <rFont val="Calibri"/>
        <scheme val="minor"/>
      </rPr>
      <t xml:space="preserve">₹ 3640.40
</t>
    </r>
    <r>
      <rPr>
        <b/>
        <sz val="12"/>
        <color rgb="FF1F4E78"/>
        <rFont val="Calibri"/>
        <scheme val="minor"/>
      </rPr>
      <t xml:space="preserve">
Best Day: </t>
    </r>
    <r>
      <rPr>
        <b/>
        <sz val="12"/>
        <color rgb="FF000000"/>
        <rFont val="Calibri"/>
        <scheme val="minor"/>
      </rPr>
      <t xml:space="preserve">04 Aug 2026 ( Tuesday )
</t>
    </r>
    <r>
      <rPr>
        <b/>
        <sz val="12"/>
        <color rgb="FF1F4E78"/>
        <rFont val="Calibri"/>
        <scheme val="minor"/>
      </rPr>
      <t xml:space="preserve">
Top Product: </t>
    </r>
    <r>
      <rPr>
        <b/>
        <sz val="12"/>
        <color rgb="FF000000"/>
        <rFont val="Calibri"/>
        <scheme val="minor"/>
      </rPr>
      <t>Handpump</t>
    </r>
  </si>
  <si>
    <r>
      <rPr>
        <b/>
        <sz val="12"/>
        <color rgb="FF1F4E78"/>
        <rFont val="Calibri"/>
        <scheme val="minor"/>
      </rPr>
      <t xml:space="preserve">Total Profit: </t>
    </r>
    <r>
      <rPr>
        <b/>
        <sz val="12"/>
        <color rgb="FF000000"/>
        <rFont val="Calibri"/>
        <scheme val="minor"/>
      </rPr>
      <t xml:space="preserve">₹ 3083.40
</t>
    </r>
    <r>
      <rPr>
        <b/>
        <sz val="12"/>
        <color rgb="FF1F4E78"/>
        <rFont val="Calibri"/>
        <scheme val="minor"/>
      </rPr>
      <t xml:space="preserve">
Best Day: </t>
    </r>
    <r>
      <rPr>
        <b/>
        <sz val="12"/>
        <color rgb="FF000000"/>
        <rFont val="Calibri"/>
        <scheme val="minor"/>
      </rPr>
      <t xml:space="preserve">12 Aug 2026 ( Wednesday )
</t>
    </r>
    <r>
      <rPr>
        <b/>
        <sz val="12"/>
        <color rgb="FF1F4E78"/>
        <rFont val="Calibri"/>
        <scheme val="minor"/>
      </rPr>
      <t xml:space="preserve">
Top Product: </t>
    </r>
    <r>
      <rPr>
        <b/>
        <sz val="12"/>
        <color rgb="FF000000"/>
        <rFont val="Calibri"/>
        <scheme val="minor"/>
      </rPr>
      <t>3/4" Cancilled</t>
    </r>
  </si>
  <si>
    <r>
      <rPr>
        <b/>
        <sz val="12"/>
        <color rgb="FF1F4E78"/>
        <rFont val="Calibri"/>
        <scheme val="minor"/>
      </rPr>
      <t xml:space="preserve">Total Profit: </t>
    </r>
    <r>
      <rPr>
        <b/>
        <sz val="12"/>
        <color rgb="FF000000"/>
        <rFont val="Calibri"/>
        <scheme val="minor"/>
      </rPr>
      <t xml:space="preserve">₹ 4049.40
</t>
    </r>
    <r>
      <rPr>
        <b/>
        <sz val="12"/>
        <color rgb="FF1F4E78"/>
        <rFont val="Calibri"/>
        <scheme val="minor"/>
      </rPr>
      <t xml:space="preserve">
Best Day: </t>
    </r>
    <r>
      <rPr>
        <b/>
        <sz val="12"/>
        <color rgb="FF000000"/>
        <rFont val="Calibri"/>
        <scheme val="minor"/>
      </rPr>
      <t xml:space="preserve">22 Aug 2026 ( Saturday )
</t>
    </r>
    <r>
      <rPr>
        <b/>
        <sz val="12"/>
        <color rgb="FF1F4E78"/>
        <rFont val="Calibri"/>
        <scheme val="minor"/>
      </rPr>
      <t xml:space="preserve">
Top Product: </t>
    </r>
    <r>
      <rPr>
        <b/>
        <sz val="12"/>
        <color rgb="FF000000"/>
        <rFont val="Calibri"/>
        <scheme val="minor"/>
      </rPr>
      <t>1/2" Cancilled</t>
    </r>
  </si>
  <si>
    <r>
      <rPr>
        <b/>
        <sz val="12"/>
        <color rgb="FF1F4E78"/>
        <rFont val="Calibri"/>
        <scheme val="minor"/>
      </rPr>
      <t>Total Profit:</t>
    </r>
    <r>
      <rPr>
        <b/>
        <sz val="12"/>
        <color rgb="FF000000"/>
        <rFont val="Calibri"/>
        <scheme val="minor"/>
      </rPr>
      <t xml:space="preserve"> ₹ 4207.80
</t>
    </r>
    <r>
      <rPr>
        <b/>
        <sz val="12"/>
        <color rgb="FF1F4E78"/>
        <rFont val="Calibri"/>
        <scheme val="minor"/>
      </rPr>
      <t xml:space="preserve">
Best Day: </t>
    </r>
    <r>
      <rPr>
        <b/>
        <sz val="12"/>
        <color rgb="FF000000"/>
        <rFont val="Calibri"/>
        <scheme val="minor"/>
      </rPr>
      <t xml:space="preserve">26 Aug 2026 (Wednesday)
</t>
    </r>
    <r>
      <rPr>
        <b/>
        <sz val="12"/>
        <color rgb="FF1F4E78"/>
        <rFont val="Calibri"/>
        <scheme val="minor"/>
      </rPr>
      <t xml:space="preserve">
Top Product: </t>
    </r>
    <r>
      <rPr>
        <b/>
        <sz val="12"/>
        <color rgb="FF000000"/>
        <rFont val="Calibri"/>
        <scheme val="minor"/>
      </rPr>
      <t>Motor 1HP</t>
    </r>
  </si>
  <si>
    <t>WEEK 5: 31 Aug 2026 - 06 Sep 2026</t>
  </si>
  <si>
    <t>WEEK 6: 07 Sep 2026 - 13 Sep 2026</t>
  </si>
  <si>
    <t>WEEK 7: 14 Sep 2026 - 20 Sep 2026</t>
  </si>
  <si>
    <t>WEEK 8: 20 Sep 2026 - 26 Sep 2026</t>
  </si>
  <si>
    <r>
      <rPr>
        <b/>
        <sz val="12"/>
        <color rgb="FF1F4E78"/>
        <rFont val="Calibri"/>
        <scheme val="minor"/>
      </rPr>
      <t xml:space="preserve">Total Profit: </t>
    </r>
    <r>
      <rPr>
        <b/>
        <sz val="12"/>
        <color rgb="FF000000"/>
        <rFont val="Calibri"/>
        <scheme val="minor"/>
      </rPr>
      <t xml:space="preserve">₹ 4850.35
</t>
    </r>
    <r>
      <rPr>
        <b/>
        <sz val="12"/>
        <color rgb="FF1F4E78"/>
        <rFont val="Calibri"/>
        <scheme val="minor"/>
      </rPr>
      <t xml:space="preserve">
Best Day: </t>
    </r>
    <r>
      <rPr>
        <b/>
        <sz val="12"/>
        <color rgb="FF000000"/>
        <rFont val="Calibri"/>
        <scheme val="minor"/>
      </rPr>
      <t xml:space="preserve">31 Aug 2026 ( Monday )
</t>
    </r>
    <r>
      <rPr>
        <b/>
        <sz val="12"/>
        <color rgb="FF1F4E78"/>
        <rFont val="Calibri"/>
        <scheme val="minor"/>
      </rPr>
      <t xml:space="preserve">
Top Product:</t>
    </r>
    <r>
      <rPr>
        <b/>
        <sz val="12"/>
        <color rgb="FF000000"/>
        <rFont val="Calibri"/>
        <scheme val="minor"/>
      </rPr>
      <t xml:space="preserve"> 3/4" Pipe</t>
    </r>
  </si>
  <si>
    <r>
      <rPr>
        <b/>
        <sz val="12"/>
        <color rgb="FF1F4E78"/>
        <rFont val="Calibri"/>
        <scheme val="minor"/>
      </rPr>
      <t xml:space="preserve">Total Profit: </t>
    </r>
    <r>
      <rPr>
        <b/>
        <sz val="12"/>
        <color rgb="FF000000"/>
        <rFont val="Calibri"/>
        <scheme val="minor"/>
      </rPr>
      <t>₹</t>
    </r>
    <r>
      <rPr>
        <b/>
        <sz val="12"/>
        <color rgb="FF1F4E78"/>
        <rFont val="Calibri"/>
        <scheme val="minor"/>
      </rPr>
      <t xml:space="preserve"> </t>
    </r>
    <r>
      <rPr>
        <b/>
        <sz val="12"/>
        <color rgb="FF000000"/>
        <rFont val="Calibri"/>
        <scheme val="minor"/>
      </rPr>
      <t xml:space="preserve">3829.60
</t>
    </r>
    <r>
      <rPr>
        <b/>
        <sz val="12"/>
        <color rgb="FF1F4E78"/>
        <rFont val="Calibri"/>
        <scheme val="minor"/>
      </rPr>
      <t xml:space="preserve">
Best Day: </t>
    </r>
    <r>
      <rPr>
        <b/>
        <sz val="12"/>
        <color rgb="FF000000"/>
        <rFont val="Calibri"/>
        <scheme val="minor"/>
      </rPr>
      <t xml:space="preserve">07-09-2026
</t>
    </r>
    <r>
      <rPr>
        <b/>
        <sz val="12"/>
        <color rgb="FF1F4E78"/>
        <rFont val="Calibri"/>
        <scheme val="minor"/>
      </rPr>
      <t xml:space="preserve">
Top Product: </t>
    </r>
    <r>
      <rPr>
        <b/>
        <sz val="12"/>
        <color rgb="FF000000"/>
        <rFont val="Calibri"/>
        <scheme val="minor"/>
      </rPr>
      <t>4" Pipe</t>
    </r>
  </si>
  <si>
    <t>Total Profit:
Best Day:
Top Product</t>
  </si>
  <si>
    <t>Date</t>
  </si>
  <si>
    <t>Product</t>
  </si>
  <si>
    <t>Quantity</t>
  </si>
  <si>
    <t>Sell_Price</t>
  </si>
  <si>
    <t>Cost_Price</t>
  </si>
  <si>
    <t>Profit</t>
  </si>
  <si>
    <t>Day</t>
  </si>
  <si>
    <t>Week</t>
  </si>
  <si>
    <t>1" Pipe</t>
  </si>
  <si>
    <t>Loose Pipe</t>
  </si>
  <si>
    <t>1" Ball Valve</t>
  </si>
  <si>
    <t>Handpump</t>
  </si>
  <si>
    <t>Solvent 10ml</t>
  </si>
  <si>
    <t>Aree Blade</t>
  </si>
  <si>
    <t>Shower</t>
  </si>
  <si>
    <t>Tap</t>
  </si>
  <si>
    <t>3" Bocket</t>
  </si>
  <si>
    <t>4" Pipe</t>
  </si>
  <si>
    <t>4" Coupler</t>
  </si>
  <si>
    <t>4" Band</t>
  </si>
  <si>
    <t>4" Tee</t>
  </si>
  <si>
    <t>Solvent PVC</t>
  </si>
  <si>
    <t>M-Seal</t>
  </si>
  <si>
    <t>Tank Cover</t>
  </si>
  <si>
    <t>3" Pipe</t>
  </si>
  <si>
    <t>3" Coupler</t>
  </si>
  <si>
    <t>3" Band</t>
  </si>
  <si>
    <t>3" Tee</t>
  </si>
  <si>
    <t>3" Hook</t>
  </si>
  <si>
    <t>3" End Cap</t>
  </si>
  <si>
    <t>Angle Cock</t>
  </si>
  <si>
    <t>Connection Pipe</t>
  </si>
  <si>
    <t>Stand Besin</t>
  </si>
  <si>
    <t>Waste Pipe</t>
  </si>
  <si>
    <t>1/2"x12" Nepul</t>
  </si>
  <si>
    <t>White Cement</t>
  </si>
  <si>
    <t>1" Elbow</t>
  </si>
  <si>
    <t>1" Coupler</t>
  </si>
  <si>
    <t>Solvent</t>
  </si>
  <si>
    <t>PVC Hook</t>
  </si>
  <si>
    <t>Flusher</t>
  </si>
  <si>
    <t>Fan Hook</t>
  </si>
  <si>
    <t>4" Blade</t>
  </si>
  <si>
    <t>Long Tap</t>
  </si>
  <si>
    <t>1/2" Pipe</t>
  </si>
  <si>
    <t>5" Syphan</t>
  </si>
  <si>
    <t>1"x4" Nepul</t>
  </si>
  <si>
    <t>1½"x3/4" Rodiser</t>
  </si>
  <si>
    <t>1½"x6" Nepul</t>
  </si>
  <si>
    <t>3/4" Checkvalve</t>
  </si>
  <si>
    <t>3/4"x3" Nepul</t>
  </si>
  <si>
    <t>Suta</t>
  </si>
  <si>
    <t>Plumber Masala</t>
  </si>
  <si>
    <t>1/2" Check Valve</t>
  </si>
  <si>
    <t>1/2" B MTA</t>
  </si>
  <si>
    <t>Solvent 20ml</t>
  </si>
  <si>
    <t>Pump Handle</t>
  </si>
  <si>
    <t>Nut Bolt</t>
  </si>
  <si>
    <t>PVC Solvent</t>
  </si>
  <si>
    <t>3/4" Pipe</t>
  </si>
  <si>
    <t>3/4" Elbow</t>
  </si>
  <si>
    <t>3/4" Union</t>
  </si>
  <si>
    <t>Solvent 100ml</t>
  </si>
  <si>
    <t>3/4" PVC Hook</t>
  </si>
  <si>
    <t>Steel Tap</t>
  </si>
  <si>
    <t>Hand Shower</t>
  </si>
  <si>
    <t>3/4" Cancilled</t>
  </si>
  <si>
    <t>Teplon</t>
  </si>
  <si>
    <t>1/2" Plug</t>
  </si>
  <si>
    <t>1/2" Connection Pipe</t>
  </si>
  <si>
    <t>Steel Angle Cock</t>
  </si>
  <si>
    <t>3/4"x1/2" B Elbow</t>
  </si>
  <si>
    <t>1"x3/4" Buss</t>
  </si>
  <si>
    <t>1" MTA</t>
  </si>
  <si>
    <t>1" Union</t>
  </si>
  <si>
    <t>3/4" Ball Valve</t>
  </si>
  <si>
    <t>3" Y Tee</t>
  </si>
  <si>
    <t>3" Half Band</t>
  </si>
  <si>
    <t>3" Jali</t>
  </si>
  <si>
    <t>5" Blade</t>
  </si>
  <si>
    <t>Seat</t>
  </si>
  <si>
    <t>5"x4" Syphan</t>
  </si>
  <si>
    <t>Sypahn Baser</t>
  </si>
  <si>
    <t>Solvent 50ml</t>
  </si>
  <si>
    <t>3" Gold Plenjer</t>
  </si>
  <si>
    <t>1" Tee</t>
  </si>
  <si>
    <t>1" Loose Pipe</t>
  </si>
  <si>
    <t>Jointer</t>
  </si>
  <si>
    <t>1" Clip</t>
  </si>
  <si>
    <t>3/4" Coupler</t>
  </si>
  <si>
    <t>1/2" Ferul</t>
  </si>
  <si>
    <t>3/4"x1/2" B FTA</t>
  </si>
  <si>
    <t>Motor</t>
  </si>
  <si>
    <t>Pillar Cock</t>
  </si>
  <si>
    <t>Waste Coupling</t>
  </si>
  <si>
    <t>Faster Nut</t>
  </si>
  <si>
    <t>6" Pipe</t>
  </si>
  <si>
    <t>6" Band</t>
  </si>
  <si>
    <t>6" Hook</t>
  </si>
  <si>
    <t>6"x5" Syphan</t>
  </si>
  <si>
    <t>4" Y Tee</t>
  </si>
  <si>
    <t>4" Half Band</t>
  </si>
  <si>
    <t>4" Hook</t>
  </si>
  <si>
    <t>1/2" Cancilled</t>
  </si>
  <si>
    <t>Brass Shower</t>
  </si>
  <si>
    <t>Sink Cock</t>
  </si>
  <si>
    <t>4"x3" Coupler</t>
  </si>
  <si>
    <t>3/4" Check Valve</t>
  </si>
  <si>
    <t>1"×3/4" Buss</t>
  </si>
  <si>
    <t>3/4 " Elbow</t>
  </si>
  <si>
    <t>Solvent 40ml</t>
  </si>
  <si>
    <t>3/4"×1/2" B Elbow</t>
  </si>
  <si>
    <t>Clip</t>
  </si>
  <si>
    <t>Motor 1HP</t>
  </si>
  <si>
    <t>GI Hook</t>
  </si>
  <si>
    <t>Loha Brush</t>
  </si>
  <si>
    <t>3/4" Ferul</t>
  </si>
  <si>
    <t>3/4" B FTA</t>
  </si>
  <si>
    <t>1"×3/4" Tee</t>
  </si>
  <si>
    <t>1"×3/4" Elbow</t>
  </si>
  <si>
    <t>1"×3/4" Coupler</t>
  </si>
  <si>
    <t>1"×1/2" B Elbow</t>
  </si>
  <si>
    <t>1"×1/2" B Tee</t>
  </si>
  <si>
    <t>Wash Besin</t>
  </si>
  <si>
    <t>Waste Couplin</t>
  </si>
  <si>
    <t>1"×12" Nepul</t>
  </si>
  <si>
    <t>Wash Besin Tap</t>
  </si>
  <si>
    <t>4" Nehali Trap</t>
  </si>
  <si>
    <t>Sit (Hindware)</t>
  </si>
  <si>
    <t>2 in 1 Diverter</t>
  </si>
  <si>
    <t>1" Baipass</t>
  </si>
  <si>
    <t>3/4" Baipass</t>
  </si>
  <si>
    <t>3/4" 45° Elbow</t>
  </si>
  <si>
    <t>3" Elbow</t>
  </si>
  <si>
    <t>4" Cut Jali</t>
  </si>
  <si>
    <t>1/2" Loose Pipe</t>
  </si>
  <si>
    <t>3/4"×1/2" B FTA</t>
  </si>
  <si>
    <t>Motor 1/2HP</t>
  </si>
  <si>
    <t>3" Baser</t>
  </si>
  <si>
    <t>4" Elbow</t>
  </si>
  <si>
    <t>Toilet Seat</t>
  </si>
  <si>
    <t>5"×4" Jointer</t>
  </si>
  <si>
    <t>Cream</t>
  </si>
  <si>
    <t>Tank 1000 Ltr</t>
  </si>
  <si>
    <t>Tap (Sink)</t>
  </si>
  <si>
    <t>3/4" Tee</t>
  </si>
  <si>
    <t>2" Pipe</t>
  </si>
  <si>
    <t>2" Coupler</t>
  </si>
  <si>
    <t>2" Elbow</t>
  </si>
  <si>
    <t>3" Plenjer</t>
  </si>
  <si>
    <t>3/4" B.Lbo</t>
  </si>
  <si>
    <t>3/4" B.Tee</t>
  </si>
  <si>
    <t>Check Valve</t>
  </si>
  <si>
    <t>Swan Cock</t>
  </si>
  <si>
    <t>Washing Tap</t>
  </si>
  <si>
    <t>Syphan</t>
  </si>
  <si>
    <t>Sanetry M-Seal</t>
  </si>
  <si>
    <t>Nozzle</t>
  </si>
  <si>
    <t>Two Way Cock</t>
  </si>
  <si>
    <t>Long Band</t>
  </si>
  <si>
    <t>Week 1</t>
  </si>
  <si>
    <t>Daily Profit</t>
  </si>
  <si>
    <t>Total Profit</t>
  </si>
  <si>
    <t>Units Sold</t>
  </si>
  <si>
    <t>Grand Total</t>
  </si>
  <si>
    <t>Week 2</t>
  </si>
  <si>
    <t>Week 3</t>
  </si>
  <si>
    <t>Sum of Quantity</t>
  </si>
  <si>
    <t>Week 4</t>
  </si>
  <si>
    <t>Week 6</t>
  </si>
  <si>
    <t>Week 5</t>
  </si>
  <si>
    <r>
      <rPr>
        <b/>
        <sz val="32"/>
        <color rgb="FF000000"/>
        <rFont val="Calibri"/>
        <scheme val="minor"/>
      </rPr>
      <t xml:space="preserve">SHOP SALES PERFORMANCE DASHBOARD
</t>
    </r>
    <r>
      <rPr>
        <b/>
        <sz val="28"/>
        <color rgb="FF000000"/>
        <rFont val="Calibri"/>
        <scheme val="minor"/>
      </rPr>
      <t>Weekly Sales, Profit and Product Analysis</t>
    </r>
  </si>
  <si>
    <t>Week 1 
03 Aug - 09 Aug</t>
  </si>
  <si>
    <t>Total Profit
₹ 3640.40</t>
  </si>
  <si>
    <t>Top Product (Profit)
Handpump</t>
  </si>
  <si>
    <t>Avg. Profit
₹ 520.06</t>
  </si>
  <si>
    <t>Best Day
04-08-2026</t>
  </si>
  <si>
    <t>Week 2
10 Aug - 16 Aug</t>
  </si>
  <si>
    <t>Total Profit
₹ 3083.40</t>
  </si>
  <si>
    <t>Top Product (Profit)
3/4" Cancilled</t>
  </si>
  <si>
    <t>Avg. Profit
₹ 440.49</t>
  </si>
  <si>
    <t>Best Day
12-08-2026</t>
  </si>
  <si>
    <t>Week 3 
17 Aug - 23 Aug</t>
  </si>
  <si>
    <t>Total Profit
₹ 4049.40</t>
  </si>
  <si>
    <t>Top Product (Profit)
1/2" Cancilled</t>
  </si>
  <si>
    <t>Avg. Profit
₹ 578.49</t>
  </si>
  <si>
    <t>Best Day
22-08-2026</t>
  </si>
  <si>
    <t>Week 4
24 Aug - 30 Aug</t>
  </si>
  <si>
    <t>Total Profit
₹ 4207.80</t>
  </si>
  <si>
    <t>Top Product (Profit)
Motor 1HP</t>
  </si>
  <si>
    <t>Avg. Profit
₹ 601.11</t>
  </si>
  <si>
    <t>Best Day
26-08-2026</t>
  </si>
  <si>
    <t>Week 5 
31 Aug - 06 Sep</t>
  </si>
  <si>
    <t>Total Profit
₹ 4850.35</t>
  </si>
  <si>
    <t>Top Product (Profit)
3/4" Pipe</t>
  </si>
  <si>
    <t>Avg. Profit
₹ 692.91</t>
  </si>
  <si>
    <t>Best Day
31-08-2026</t>
  </si>
  <si>
    <t>Week 5 
07 Sep - 13 Sep</t>
  </si>
  <si>
    <t>Total Profit
₹ 3829.60</t>
  </si>
  <si>
    <t>Top Product (Profit)
4" Pipe</t>
  </si>
  <si>
    <t>Avg. Profit
₹ 547.09</t>
  </si>
  <si>
    <t>Best Day
07-09-2026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</si>
</sst>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.00"/>
  </numFmts>
  <fonts count="2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12"/>
      <color rgb="FF1F4E78"/>
      <name val="Calibri"/>
      <scheme val="minor"/>
    </font>
    <font>
      <b/>
      <sz val="16"/>
      <color theme="0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20"/>
      <color theme="0"/>
      <name val="Calibri"/>
      <scheme val="minor"/>
    </font>
    <font>
      <b/>
      <sz val="19"/>
      <color theme="0"/>
      <name val="Calibri"/>
      <scheme val="minor"/>
    </font>
    <font>
      <b/>
      <sz val="18"/>
      <color theme="0"/>
      <name val="Calibri"/>
      <scheme val="minor"/>
    </font>
    <font>
      <b/>
      <sz val="13"/>
      <color rgb="FF1F4E78"/>
      <name val="Calibri"/>
      <scheme val="minor"/>
    </font>
    <font>
      <sz val="13"/>
      <color rgb="FF000000"/>
      <name val="Calibri"/>
      <scheme val="minor"/>
    </font>
    <font>
      <sz val="13"/>
      <color rgb="FF1F4E78"/>
      <name val="Calibri"/>
      <scheme val="minor"/>
    </font>
    <font>
      <sz val="14"/>
      <color rgb="FF000000"/>
      <name val="Calibri"/>
      <scheme val="minor"/>
    </font>
    <font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2"/>
      <color rgb="FF000000"/>
      <name val="Calibri"/>
      <scheme val="minor"/>
    </font>
    <font>
      <b/>
      <sz val="28"/>
      <color rgb="FF000000"/>
      <name val="Calibri"/>
      <scheme val="minor"/>
    </font>
    <font>
      <b/>
      <sz val="36"/>
      <color rgb="FF000000"/>
      <name val="Calibri"/>
      <scheme val="minor"/>
    </font>
    <font>
      <sz val="13"/>
      <color rgb="FF000000"/>
      <name val="Calibri"/>
      <family val="2"/>
      <charset val="1"/>
    </font>
    <font>
      <sz val="13"/>
      <color theme="1"/>
      <name val="Calibri"/>
      <family val="2"/>
      <scheme val="minor"/>
    </font>
    <font>
      <b/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3F8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medium">
        <color rgb="FFB7B7B7"/>
      </left>
      <right/>
      <top style="medium">
        <color rgb="FFB7B7B7"/>
      </top>
      <bottom/>
      <diagonal/>
    </border>
    <border>
      <left/>
      <right/>
      <top style="medium">
        <color rgb="FFB7B7B7"/>
      </top>
      <bottom/>
      <diagonal/>
    </border>
    <border>
      <left/>
      <right style="medium">
        <color rgb="FFB7B7B7"/>
      </right>
      <top style="medium">
        <color rgb="FFB7B7B7"/>
      </top>
      <bottom/>
      <diagonal/>
    </border>
    <border>
      <left style="medium">
        <color rgb="FFB7B7B7"/>
      </left>
      <right/>
      <top/>
      <bottom/>
      <diagonal/>
    </border>
    <border>
      <left/>
      <right style="medium">
        <color rgb="FFB7B7B7"/>
      </right>
      <top/>
      <bottom/>
      <diagonal/>
    </border>
    <border>
      <left style="medium">
        <color rgb="FFB7B7B7"/>
      </left>
      <right/>
      <top/>
      <bottom style="medium">
        <color rgb="FFB7B7B7"/>
      </bottom>
      <diagonal/>
    </border>
    <border>
      <left/>
      <right/>
      <top/>
      <bottom style="medium">
        <color rgb="FFB7B7B7"/>
      </bottom>
      <diagonal/>
    </border>
    <border>
      <left/>
      <right style="medium">
        <color rgb="FFB7B7B7"/>
      </right>
      <top/>
      <bottom style="medium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medium">
        <color rgb="FFB7B7B7"/>
      </left>
      <right style="thin">
        <color rgb="FFB7B7B7"/>
      </right>
      <top style="medium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rgb="FFB7B7B7"/>
      </right>
      <top style="medium">
        <color rgb="FFB7B7B7"/>
      </top>
      <bottom style="thin">
        <color rgb="FFB7B7B7"/>
      </bottom>
      <diagonal/>
    </border>
    <border>
      <left style="medium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B7B7B7"/>
      </left>
      <right style="thin">
        <color rgb="FFB7B7B7"/>
      </right>
      <top style="thin">
        <color rgb="FFB7B7B7"/>
      </top>
      <bottom style="medium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B7B7B7"/>
      </bottom>
      <diagonal/>
    </border>
    <border>
      <left style="thin">
        <color rgb="FFB7B7B7"/>
      </left>
      <right style="medium">
        <color rgb="FFB7B7B7"/>
      </right>
      <top style="thin">
        <color rgb="FFB7B7B7"/>
      </top>
      <bottom style="medium">
        <color rgb="FFB7B7B7"/>
      </bottom>
      <diagonal/>
    </border>
    <border>
      <left style="thin">
        <color rgb="FFB7B7B7"/>
      </left>
      <right style="medium">
        <color rgb="FFB7B7B7"/>
      </right>
      <top style="thin">
        <color rgb="FFB7B7B7"/>
      </top>
      <bottom/>
      <diagonal/>
    </border>
    <border>
      <left style="medium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right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164" fontId="19" fillId="0" borderId="31" xfId="0" applyNumberFormat="1" applyFont="1" applyBorder="1" applyAlignment="1">
      <alignment horizontal="left" vertical="center" indent="10"/>
    </xf>
    <xf numFmtId="14" fontId="19" fillId="0" borderId="1" xfId="0" applyNumberFormat="1" applyFont="1" applyBorder="1"/>
    <xf numFmtId="0" fontId="19" fillId="0" borderId="0" xfId="0" pivotButton="1" applyFont="1" applyAlignment="1">
      <alignment horizontal="left" indent="1"/>
    </xf>
    <xf numFmtId="0" fontId="0" fillId="0" borderId="1" xfId="0" pivotButton="1" applyBorder="1"/>
    <xf numFmtId="0" fontId="0" fillId="0" borderId="1" xfId="0" applyBorder="1"/>
    <xf numFmtId="0" fontId="0" fillId="0" borderId="1" xfId="0" pivotButton="1" applyBorder="1" applyAlignment="1">
      <alignment horizontal="left" indent="1"/>
    </xf>
    <xf numFmtId="0" fontId="19" fillId="0" borderId="1" xfId="0" applyNumberFormat="1" applyFont="1" applyBorder="1" applyAlignment="1">
      <alignment horizontal="right" vertical="center" indent="3"/>
    </xf>
    <xf numFmtId="0" fontId="0" fillId="0" borderId="1" xfId="0" applyNumberFormat="1" applyBorder="1"/>
    <xf numFmtId="14" fontId="0" fillId="0" borderId="1" xfId="0" applyNumberFormat="1" applyBorder="1"/>
    <xf numFmtId="164" fontId="0" fillId="0" borderId="1" xfId="0" applyNumberFormat="1" applyBorder="1"/>
    <xf numFmtId="0" fontId="19" fillId="0" borderId="0" xfId="0" pivotButton="1" applyFont="1"/>
    <xf numFmtId="0" fontId="19" fillId="0" borderId="0" xfId="0" applyFont="1"/>
    <xf numFmtId="164" fontId="19" fillId="0" borderId="31" xfId="0" applyNumberFormat="1" applyFont="1" applyBorder="1" applyAlignment="1">
      <alignment horizontal="left" vertical="center" indent="8"/>
    </xf>
    <xf numFmtId="0" fontId="19" fillId="0" borderId="31" xfId="0" applyFont="1" applyBorder="1" applyAlignment="1">
      <alignment horizontal="left" vertical="center" indent="1"/>
    </xf>
    <xf numFmtId="0" fontId="19" fillId="0" borderId="31" xfId="0" applyFont="1" applyBorder="1" applyAlignment="1">
      <alignment horizontal="right" vertical="center" indent="2"/>
    </xf>
    <xf numFmtId="0" fontId="0" fillId="0" borderId="1" xfId="0" applyBorder="1" applyAlignment="1">
      <alignment horizontal="left" vertical="center" indent="1"/>
    </xf>
    <xf numFmtId="164" fontId="0" fillId="0" borderId="1" xfId="0" applyNumberFormat="1" applyBorder="1" applyAlignment="1">
      <alignment horizontal="left" vertical="center" indent="2"/>
    </xf>
    <xf numFmtId="0" fontId="0" fillId="0" borderId="1" xfId="0" pivotButton="1" applyBorder="1" applyAlignment="1">
      <alignment horizontal="left" indent="2"/>
    </xf>
    <xf numFmtId="0" fontId="0" fillId="0" borderId="1" xfId="0" applyBorder="1" applyAlignment="1">
      <alignment horizontal="left" indent="2"/>
    </xf>
    <xf numFmtId="0" fontId="0" fillId="0" borderId="1" xfId="0" applyBorder="1" applyAlignment="1">
      <alignment horizontal="left" vertical="center" indent="3"/>
    </xf>
    <xf numFmtId="164" fontId="0" fillId="0" borderId="1" xfId="0" applyNumberFormat="1" applyBorder="1" applyAlignment="1">
      <alignment horizontal="center" vertical="center" indent="5"/>
    </xf>
    <xf numFmtId="0" fontId="12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 indent="2"/>
    </xf>
    <xf numFmtId="0" fontId="5" fillId="4" borderId="4" xfId="0" applyFont="1" applyFill="1" applyBorder="1" applyAlignment="1">
      <alignment horizontal="left" vertical="center" wrapText="1" indent="2"/>
    </xf>
    <xf numFmtId="0" fontId="5" fillId="4" borderId="5" xfId="0" applyFont="1" applyFill="1" applyBorder="1" applyAlignment="1">
      <alignment horizontal="left" vertical="center" wrapText="1" indent="2"/>
    </xf>
    <xf numFmtId="0" fontId="5" fillId="4" borderId="6" xfId="0" applyFont="1" applyFill="1" applyBorder="1" applyAlignment="1">
      <alignment horizontal="left" vertical="center" wrapText="1" indent="2"/>
    </xf>
    <xf numFmtId="0" fontId="5" fillId="4" borderId="0" xfId="0" applyFont="1" applyFill="1" applyBorder="1" applyAlignment="1">
      <alignment horizontal="left" vertical="center" wrapText="1" indent="2"/>
    </xf>
    <xf numFmtId="0" fontId="5" fillId="4" borderId="7" xfId="0" applyFont="1" applyFill="1" applyBorder="1" applyAlignment="1">
      <alignment horizontal="left" vertical="center" wrapText="1" indent="2"/>
    </xf>
    <xf numFmtId="0" fontId="5" fillId="4" borderId="8" xfId="0" applyFont="1" applyFill="1" applyBorder="1" applyAlignment="1">
      <alignment horizontal="left" vertical="center" wrapText="1" indent="2"/>
    </xf>
    <xf numFmtId="0" fontId="5" fillId="4" borderId="9" xfId="0" applyFont="1" applyFill="1" applyBorder="1" applyAlignment="1">
      <alignment horizontal="left" vertical="center" wrapText="1" indent="2"/>
    </xf>
    <xf numFmtId="0" fontId="5" fillId="4" borderId="10" xfId="0" applyFont="1" applyFill="1" applyBorder="1" applyAlignment="1">
      <alignment horizontal="left" vertical="center" wrapText="1" indent="2"/>
    </xf>
    <xf numFmtId="0" fontId="3" fillId="4" borderId="3" xfId="0" applyFont="1" applyFill="1" applyBorder="1" applyAlignment="1">
      <alignment horizontal="left" vertical="center" wrapText="1" indent="2"/>
    </xf>
    <xf numFmtId="0" fontId="9" fillId="4" borderId="3" xfId="0" applyFont="1" applyFill="1" applyBorder="1" applyAlignment="1">
      <alignment horizontal="left" vertical="center" wrapText="1" indent="2"/>
    </xf>
    <xf numFmtId="0" fontId="3" fillId="4" borderId="4" xfId="0" applyFont="1" applyFill="1" applyBorder="1" applyAlignment="1">
      <alignment horizontal="left" vertical="center" wrapText="1" indent="2"/>
    </xf>
    <xf numFmtId="0" fontId="3" fillId="4" borderId="5" xfId="0" applyFont="1" applyFill="1" applyBorder="1" applyAlignment="1">
      <alignment horizontal="left" vertical="center" wrapText="1" indent="2"/>
    </xf>
    <xf numFmtId="0" fontId="3" fillId="4" borderId="6" xfId="0" applyFont="1" applyFill="1" applyBorder="1" applyAlignment="1">
      <alignment horizontal="left" vertical="center" wrapText="1" indent="2"/>
    </xf>
    <xf numFmtId="0" fontId="3" fillId="4" borderId="0" xfId="0" applyFont="1" applyFill="1" applyBorder="1" applyAlignment="1">
      <alignment horizontal="left" vertical="center" wrapText="1" indent="2"/>
    </xf>
    <xf numFmtId="0" fontId="3" fillId="4" borderId="7" xfId="0" applyFont="1" applyFill="1" applyBorder="1" applyAlignment="1">
      <alignment horizontal="left" vertical="center" wrapText="1" indent="2"/>
    </xf>
    <xf numFmtId="0" fontId="3" fillId="4" borderId="8" xfId="0" applyFont="1" applyFill="1" applyBorder="1" applyAlignment="1">
      <alignment horizontal="left" vertical="center" wrapText="1" indent="2"/>
    </xf>
    <xf numFmtId="0" fontId="3" fillId="4" borderId="9" xfId="0" applyFont="1" applyFill="1" applyBorder="1" applyAlignment="1">
      <alignment horizontal="left" vertical="center" wrapText="1" indent="2"/>
    </xf>
    <xf numFmtId="0" fontId="3" fillId="4" borderId="10" xfId="0" applyFont="1" applyFill="1" applyBorder="1" applyAlignment="1">
      <alignment horizontal="left" vertical="center" wrapText="1" indent="2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" fontId="1" fillId="2" borderId="33" xfId="0" applyNumberFormat="1" applyFont="1" applyFill="1" applyBorder="1" applyAlignment="1">
      <alignment horizontal="center" vertical="center"/>
    </xf>
    <xf numFmtId="164" fontId="1" fillId="2" borderId="33" xfId="0" applyNumberFormat="1" applyFont="1" applyFill="1" applyBorder="1" applyAlignment="1">
      <alignment horizontal="center" vertical="center"/>
    </xf>
    <xf numFmtId="14" fontId="1" fillId="2" borderId="35" xfId="0" applyNumberFormat="1" applyFont="1" applyFill="1" applyBorder="1" applyAlignment="1">
      <alignment horizontal="center" vertical="center"/>
    </xf>
    <xf numFmtId="14" fontId="2" fillId="2" borderId="34" xfId="0" applyNumberFormat="1" applyFont="1" applyFill="1" applyBorder="1" applyAlignment="1">
      <alignment horizontal="center" vertical="center"/>
    </xf>
    <xf numFmtId="14" fontId="2" fillId="2" borderId="36" xfId="0" applyNumberFormat="1" applyFont="1" applyFill="1" applyBorder="1" applyAlignment="1">
      <alignment horizontal="center" vertical="center"/>
    </xf>
    <xf numFmtId="164" fontId="1" fillId="2" borderId="37" xfId="0" applyNumberFormat="1" applyFont="1" applyFill="1" applyBorder="1" applyAlignment="1">
      <alignment horizontal="center" vertical="center"/>
    </xf>
    <xf numFmtId="164" fontId="2" fillId="2" borderId="38" xfId="0" applyNumberFormat="1" applyFont="1" applyFill="1" applyBorder="1" applyAlignment="1">
      <alignment horizontal="center" vertical="center"/>
    </xf>
    <xf numFmtId="164" fontId="2" fillId="2" borderId="32" xfId="0" applyNumberFormat="1" applyFont="1" applyFill="1" applyBorder="1" applyAlignment="1">
      <alignment horizontal="center" vertical="center"/>
    </xf>
    <xf numFmtId="0" fontId="0" fillId="0" borderId="0" xfId="0" pivotButton="1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alignment horizontal="left"/>
    </dxf>
    <dxf>
      <alignment horizontal="left"/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right"/>
    </dxf>
    <dxf>
      <alignment relativeIndent="1"/>
    </dxf>
    <dxf>
      <alignment relativeIndent="1"/>
    </dxf>
    <dxf>
      <alignment relativeIndent="1"/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vertical="center"/>
    </dxf>
    <dxf>
      <alignment vertical="center"/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horizontal="right"/>
    </dxf>
    <dxf>
      <alignment relativeIndent="1"/>
    </dxf>
    <dxf>
      <alignment relativeIndent="1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relativeIndent="-1"/>
    </dxf>
    <dxf>
      <alignment horizontal="left" relativeIndent="-1"/>
    </dxf>
    <dxf>
      <alignment horizontal="left" relativeIndent="-1"/>
    </dxf>
    <dxf>
      <alignment horizontal="left" relativeIndent="-1"/>
    </dxf>
    <dxf>
      <alignment horizontal="left" relativeIndent="-1"/>
    </dxf>
    <dxf>
      <alignment horizontal="left" relativeIndent="-1"/>
    </dxf>
    <dxf>
      <alignment horizontal="left"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horizontal="center"/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z val="13"/>
      </font>
    </dxf>
    <dxf>
      <alignment horizontal="right"/>
    </dxf>
    <dxf>
      <alignment relativeIndent="1"/>
    </dxf>
    <dxf>
      <alignment relativeIndent="1"/>
    </dxf>
    <dxf>
      <alignment relativeIndent="1"/>
    </dxf>
    <dxf>
      <alignment vertic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colors>
    <mruColors>
      <color rgb="FFB7B7B7"/>
      <color rgb="FFEAF3F8"/>
      <color rgb="FF6395C2"/>
      <color rgb="FF1F4E78"/>
      <color rgb="FFF4C95D"/>
      <color rgb="FFF2C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( 03 Aug - 09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- 1'!$F$4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- 1'!$E$5:$E$12</c:f>
              <c:strCache>
                <c:ptCount val="7"/>
                <c:pt idx="0">
                  <c:v>03/08/2026</c:v>
                </c:pt>
                <c:pt idx="1">
                  <c:v>04/08/2026</c:v>
                </c:pt>
                <c:pt idx="2">
                  <c:v>05/08/2026</c:v>
                </c:pt>
                <c:pt idx="3">
                  <c:v>06/08/2026</c:v>
                </c:pt>
                <c:pt idx="4">
                  <c:v>07/08/2026</c:v>
                </c:pt>
                <c:pt idx="5">
                  <c:v>08/08/2026</c:v>
                </c:pt>
                <c:pt idx="6">
                  <c:v>09/08/2026</c:v>
                </c:pt>
              </c:strCache>
            </c:strRef>
          </c:cat>
          <c:val>
            <c:numRef>
              <c:f>'Pivot_Analysis - Week - 1'!$F$5:$F$12</c:f>
              <c:numCache>
                <c:formatCode>[$₹-439]#,##0.00</c:formatCode>
                <c:ptCount val="7"/>
                <c:pt idx="0">
                  <c:v>562.20000000000005</c:v>
                </c:pt>
                <c:pt idx="1">
                  <c:v>683</c:v>
                </c:pt>
                <c:pt idx="2">
                  <c:v>272</c:v>
                </c:pt>
                <c:pt idx="3">
                  <c:v>558</c:v>
                </c:pt>
                <c:pt idx="4">
                  <c:v>601.5</c:v>
                </c:pt>
                <c:pt idx="5">
                  <c:v>399.4</c:v>
                </c:pt>
                <c:pt idx="6">
                  <c:v>564.29999999999995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C-4900-B8E7-7F7C64B96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108999"/>
        <c:axId val="513142791"/>
      </c:lineChart>
      <c:catAx>
        <c:axId val="513108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42791"/>
        <c:crosses val="autoZero"/>
        <c:auto val="1"/>
        <c:lblAlgn val="ctr"/>
        <c:lblOffset val="100"/>
        <c:noMultiLvlLbl val="0"/>
      </c:catAx>
      <c:valAx>
        <c:axId val="513142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08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- 1'!$O$4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- 1'!$N$5:$N$50</c:f>
              <c:strCache>
                <c:ptCount val="45"/>
                <c:pt idx="0">
                  <c:v>Handpump</c:v>
                </c:pt>
                <c:pt idx="1">
                  <c:v>Tank Cover</c:v>
                </c:pt>
                <c:pt idx="2">
                  <c:v>Stand Besin</c:v>
                </c:pt>
                <c:pt idx="3">
                  <c:v>1" Pipe</c:v>
                </c:pt>
                <c:pt idx="4">
                  <c:v>Flusher</c:v>
                </c:pt>
                <c:pt idx="5">
                  <c:v>4" Pipe</c:v>
                </c:pt>
                <c:pt idx="6">
                  <c:v>Tap</c:v>
                </c:pt>
                <c:pt idx="7">
                  <c:v>Loose Pipe</c:v>
                </c:pt>
                <c:pt idx="8">
                  <c:v>1" Elbow</c:v>
                </c:pt>
                <c:pt idx="9">
                  <c:v>1/2"x12" Nepul</c:v>
                </c:pt>
                <c:pt idx="10">
                  <c:v>Connection Pipe</c:v>
                </c:pt>
                <c:pt idx="11">
                  <c:v>4" Band</c:v>
                </c:pt>
                <c:pt idx="12">
                  <c:v>Solvent</c:v>
                </c:pt>
                <c:pt idx="13">
                  <c:v>Long Tap</c:v>
                </c:pt>
                <c:pt idx="14">
                  <c:v>4" Coupler</c:v>
                </c:pt>
                <c:pt idx="15">
                  <c:v>3/4" Checkvalve</c:v>
                </c:pt>
                <c:pt idx="16">
                  <c:v>Shower</c:v>
                </c:pt>
                <c:pt idx="17">
                  <c:v>3" Pipe</c:v>
                </c:pt>
                <c:pt idx="18">
                  <c:v>Solvent 10ml</c:v>
                </c:pt>
                <c:pt idx="19">
                  <c:v>3" Coupler</c:v>
                </c:pt>
                <c:pt idx="20">
                  <c:v>1/2" Pipe</c:v>
                </c:pt>
                <c:pt idx="21">
                  <c:v>1" Ball Valve</c:v>
                </c:pt>
                <c:pt idx="22">
                  <c:v>PVC Hook</c:v>
                </c:pt>
                <c:pt idx="23">
                  <c:v>3" Band</c:v>
                </c:pt>
                <c:pt idx="24">
                  <c:v>Angle Cock</c:v>
                </c:pt>
                <c:pt idx="25">
                  <c:v>1½"x3/4" Rodiser</c:v>
                </c:pt>
                <c:pt idx="26">
                  <c:v>5" Syphan</c:v>
                </c:pt>
                <c:pt idx="27">
                  <c:v>Waste Pipe</c:v>
                </c:pt>
                <c:pt idx="28">
                  <c:v>1½"x6" Nepul</c:v>
                </c:pt>
                <c:pt idx="29">
                  <c:v>3" Tee</c:v>
                </c:pt>
                <c:pt idx="30">
                  <c:v>3" End Cap</c:v>
                </c:pt>
                <c:pt idx="31">
                  <c:v>Fan Hook</c:v>
                </c:pt>
                <c:pt idx="32">
                  <c:v>4" Tee</c:v>
                </c:pt>
                <c:pt idx="33">
                  <c:v>Solvent PVC</c:v>
                </c:pt>
                <c:pt idx="34">
                  <c:v>White Cement</c:v>
                </c:pt>
                <c:pt idx="35">
                  <c:v>1" Coupler</c:v>
                </c:pt>
                <c:pt idx="36">
                  <c:v>3" Hook</c:v>
                </c:pt>
                <c:pt idx="37">
                  <c:v>1"x4" Nepul</c:v>
                </c:pt>
                <c:pt idx="38">
                  <c:v>4" Blade</c:v>
                </c:pt>
                <c:pt idx="39">
                  <c:v>3/4"x3" Nepul</c:v>
                </c:pt>
                <c:pt idx="40">
                  <c:v>M-Seal</c:v>
                </c:pt>
                <c:pt idx="41">
                  <c:v>Plumber Masala</c:v>
                </c:pt>
                <c:pt idx="42">
                  <c:v>3" Bocket</c:v>
                </c:pt>
                <c:pt idx="43">
                  <c:v>Suta</c:v>
                </c:pt>
                <c:pt idx="44">
                  <c:v>Aree Blade</c:v>
                </c:pt>
              </c:strCache>
            </c:strRef>
          </c:cat>
          <c:val>
            <c:numRef>
              <c:f>'Pivot_Analysis - Week - 1'!$O$5:$O$50</c:f>
              <c:numCache>
                <c:formatCode>[$₹-439]#,##0.00</c:formatCode>
                <c:ptCount val="45"/>
                <c:pt idx="0">
                  <c:v>470</c:v>
                </c:pt>
                <c:pt idx="1">
                  <c:v>380</c:v>
                </c:pt>
                <c:pt idx="2">
                  <c:v>256</c:v>
                </c:pt>
                <c:pt idx="3">
                  <c:v>238</c:v>
                </c:pt>
                <c:pt idx="4">
                  <c:v>220</c:v>
                </c:pt>
                <c:pt idx="5">
                  <c:v>162</c:v>
                </c:pt>
                <c:pt idx="6">
                  <c:v>126</c:v>
                </c:pt>
                <c:pt idx="7">
                  <c:v>120</c:v>
                </c:pt>
                <c:pt idx="8">
                  <c:v>97.5</c:v>
                </c:pt>
                <c:pt idx="9">
                  <c:v>96</c:v>
                </c:pt>
                <c:pt idx="10">
                  <c:v>94</c:v>
                </c:pt>
                <c:pt idx="11">
                  <c:v>84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70</c:v>
                </c:pt>
                <c:pt idx="17">
                  <c:v>66</c:v>
                </c:pt>
                <c:pt idx="18">
                  <c:v>64</c:v>
                </c:pt>
                <c:pt idx="19">
                  <c:v>55</c:v>
                </c:pt>
                <c:pt idx="20">
                  <c:v>54</c:v>
                </c:pt>
                <c:pt idx="21">
                  <c:v>52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43</c:v>
                </c:pt>
                <c:pt idx="26">
                  <c:v>40</c:v>
                </c:pt>
                <c:pt idx="27">
                  <c:v>38</c:v>
                </c:pt>
                <c:pt idx="28">
                  <c:v>36</c:v>
                </c:pt>
                <c:pt idx="29">
                  <c:v>36</c:v>
                </c:pt>
                <c:pt idx="30">
                  <c:v>32</c:v>
                </c:pt>
                <c:pt idx="31">
                  <c:v>31.5</c:v>
                </c:pt>
                <c:pt idx="32">
                  <c:v>30</c:v>
                </c:pt>
                <c:pt idx="33">
                  <c:v>28</c:v>
                </c:pt>
                <c:pt idx="34">
                  <c:v>26</c:v>
                </c:pt>
                <c:pt idx="35">
                  <c:v>24</c:v>
                </c:pt>
                <c:pt idx="36">
                  <c:v>21</c:v>
                </c:pt>
                <c:pt idx="37">
                  <c:v>20</c:v>
                </c:pt>
                <c:pt idx="38">
                  <c:v>18.900000000000006</c:v>
                </c:pt>
                <c:pt idx="39">
                  <c:v>18</c:v>
                </c:pt>
                <c:pt idx="40">
                  <c:v>14</c:v>
                </c:pt>
                <c:pt idx="41">
                  <c:v>13.5</c:v>
                </c:pt>
                <c:pt idx="42">
                  <c:v>12</c:v>
                </c:pt>
                <c:pt idx="43">
                  <c:v>10.8</c:v>
                </c:pt>
                <c:pt idx="44">
                  <c:v>7.2000000000000028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4-4EF5-A89E-2E0EAEF47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6510983"/>
        <c:axId val="1256513031"/>
      </c:barChart>
      <c:catAx>
        <c:axId val="1256510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513031"/>
        <c:crosses val="autoZero"/>
        <c:auto val="1"/>
        <c:lblAlgn val="ctr"/>
        <c:lblOffset val="100"/>
        <c:noMultiLvlLbl val="0"/>
      </c:catAx>
      <c:valAx>
        <c:axId val="1256513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510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- 1'!$Y$4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- 1'!$X$5:$X$50</c:f>
              <c:strCache>
                <c:ptCount val="45"/>
                <c:pt idx="0">
                  <c:v>4" Blade</c:v>
                </c:pt>
                <c:pt idx="1">
                  <c:v>PVC Hook</c:v>
                </c:pt>
                <c:pt idx="2">
                  <c:v>1" Elbow</c:v>
                </c:pt>
                <c:pt idx="3">
                  <c:v>1" Pipe</c:v>
                </c:pt>
                <c:pt idx="4">
                  <c:v>Tap</c:v>
                </c:pt>
                <c:pt idx="5">
                  <c:v>Solvent 10ml</c:v>
                </c:pt>
                <c:pt idx="6">
                  <c:v>Aree Blade</c:v>
                </c:pt>
                <c:pt idx="7">
                  <c:v>1" Coupler</c:v>
                </c:pt>
                <c:pt idx="8">
                  <c:v>M-Seal</c:v>
                </c:pt>
                <c:pt idx="9">
                  <c:v>3" Band</c:v>
                </c:pt>
                <c:pt idx="10">
                  <c:v>4" Coupler</c:v>
                </c:pt>
                <c:pt idx="11">
                  <c:v>3" Hook</c:v>
                </c:pt>
                <c:pt idx="12">
                  <c:v>4" Pipe</c:v>
                </c:pt>
                <c:pt idx="13">
                  <c:v>3" Coupler</c:v>
                </c:pt>
                <c:pt idx="14">
                  <c:v>4" Band</c:v>
                </c:pt>
                <c:pt idx="15">
                  <c:v>Solvent PVC</c:v>
                </c:pt>
                <c:pt idx="16">
                  <c:v>1/2"x12" Nepul</c:v>
                </c:pt>
                <c:pt idx="17">
                  <c:v>3" Bocket</c:v>
                </c:pt>
                <c:pt idx="18">
                  <c:v>Suta</c:v>
                </c:pt>
                <c:pt idx="19">
                  <c:v>Tank Cover</c:v>
                </c:pt>
                <c:pt idx="20">
                  <c:v>Plumber Masala</c:v>
                </c:pt>
                <c:pt idx="21">
                  <c:v>1/2" Pipe</c:v>
                </c:pt>
                <c:pt idx="22">
                  <c:v>Fan Hook</c:v>
                </c:pt>
                <c:pt idx="23">
                  <c:v>Handpump</c:v>
                </c:pt>
                <c:pt idx="24">
                  <c:v>Stand Besin</c:v>
                </c:pt>
                <c:pt idx="25">
                  <c:v>3/4"x3" Nepul</c:v>
                </c:pt>
                <c:pt idx="26">
                  <c:v>Waste Pipe</c:v>
                </c:pt>
                <c:pt idx="27">
                  <c:v>3" End Cap</c:v>
                </c:pt>
                <c:pt idx="28">
                  <c:v>Connection Pipe</c:v>
                </c:pt>
                <c:pt idx="29">
                  <c:v>Angle Cock</c:v>
                </c:pt>
                <c:pt idx="30">
                  <c:v>1" Ball Valve</c:v>
                </c:pt>
                <c:pt idx="31">
                  <c:v>White Cement</c:v>
                </c:pt>
                <c:pt idx="32">
                  <c:v>3" Tee</c:v>
                </c:pt>
                <c:pt idx="33">
                  <c:v>Solvent</c:v>
                </c:pt>
                <c:pt idx="34">
                  <c:v>3" Pipe</c:v>
                </c:pt>
                <c:pt idx="35">
                  <c:v>Long Tap</c:v>
                </c:pt>
                <c:pt idx="36">
                  <c:v>4" Tee</c:v>
                </c:pt>
                <c:pt idx="37">
                  <c:v>Flusher</c:v>
                </c:pt>
                <c:pt idx="38">
                  <c:v>1½"x6" Nepul</c:v>
                </c:pt>
                <c:pt idx="39">
                  <c:v>1½"x3/4" Rodiser</c:v>
                </c:pt>
                <c:pt idx="40">
                  <c:v>1"x4" Nepul</c:v>
                </c:pt>
                <c:pt idx="41">
                  <c:v>Shower</c:v>
                </c:pt>
                <c:pt idx="42">
                  <c:v>Loose Pipe</c:v>
                </c:pt>
                <c:pt idx="43">
                  <c:v>5" Syphan</c:v>
                </c:pt>
                <c:pt idx="44">
                  <c:v>3/4" Checkvalve</c:v>
                </c:pt>
              </c:strCache>
            </c:strRef>
          </c:cat>
          <c:val>
            <c:numRef>
              <c:f>'Pivot_Analysis - Week - 1'!$Y$5:$Y$50</c:f>
              <c:numCache>
                <c:formatCode>General</c:formatCode>
                <c:ptCount val="45"/>
                <c:pt idx="0">
                  <c:v>21</c:v>
                </c:pt>
                <c:pt idx="1">
                  <c:v>20</c:v>
                </c:pt>
                <c:pt idx="2">
                  <c:v>15</c:v>
                </c:pt>
                <c:pt idx="3">
                  <c:v>14</c:v>
                </c:pt>
                <c:pt idx="4">
                  <c:v>14</c:v>
                </c:pt>
                <c:pt idx="5">
                  <c:v>10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B-4ED5-B6E6-26B92852D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723015"/>
        <c:axId val="1271725063"/>
      </c:barChart>
      <c:catAx>
        <c:axId val="1271723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725063"/>
        <c:crosses val="autoZero"/>
        <c:auto val="1"/>
        <c:lblAlgn val="ctr"/>
        <c:lblOffset val="100"/>
        <c:noMultiLvlLbl val="0"/>
      </c:catAx>
      <c:valAx>
        <c:axId val="1271725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723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 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( 10 Aug - 16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 2'!$F$4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 2'!$E$5:$E$12</c:f>
              <c:strCache>
                <c:ptCount val="7"/>
                <c:pt idx="0">
                  <c:v>10/08/2026</c:v>
                </c:pt>
                <c:pt idx="1">
                  <c:v>11/08/2026</c:v>
                </c:pt>
                <c:pt idx="2">
                  <c:v>12/08/2026</c:v>
                </c:pt>
                <c:pt idx="3">
                  <c:v>13/08/2026</c:v>
                </c:pt>
                <c:pt idx="4">
                  <c:v>14/08/2026</c:v>
                </c:pt>
                <c:pt idx="5">
                  <c:v>15/08/2026</c:v>
                </c:pt>
                <c:pt idx="6">
                  <c:v>16/08/2026</c:v>
                </c:pt>
              </c:strCache>
            </c:strRef>
          </c:cat>
          <c:val>
            <c:numRef>
              <c:f>'Pivot_Analysis - Week -  2'!$F$5:$F$12</c:f>
              <c:numCache>
                <c:formatCode>[$₹-439]#,##0.00</c:formatCode>
                <c:ptCount val="7"/>
                <c:pt idx="0">
                  <c:v>326.2</c:v>
                </c:pt>
                <c:pt idx="1">
                  <c:v>327.8</c:v>
                </c:pt>
                <c:pt idx="2">
                  <c:v>607.79999999999995</c:v>
                </c:pt>
                <c:pt idx="3">
                  <c:v>421.00000000000006</c:v>
                </c:pt>
                <c:pt idx="4">
                  <c:v>450.3</c:v>
                </c:pt>
                <c:pt idx="5">
                  <c:v>457.5</c:v>
                </c:pt>
                <c:pt idx="6">
                  <c:v>492.8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67-4C18-BD5C-33E68AE05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752583"/>
        <c:axId val="250328583"/>
      </c:lineChart>
      <c:catAx>
        <c:axId val="249752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28583"/>
        <c:crosses val="autoZero"/>
        <c:auto val="1"/>
        <c:lblAlgn val="ctr"/>
        <c:lblOffset val="100"/>
        <c:noMultiLvlLbl val="0"/>
      </c:catAx>
      <c:valAx>
        <c:axId val="250328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52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 2'!$O$4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 2'!$N$5:$N$55</c:f>
              <c:strCache>
                <c:ptCount val="50"/>
                <c:pt idx="0">
                  <c:v>3/4" Cancilled</c:v>
                </c:pt>
                <c:pt idx="1">
                  <c:v>4" Pipe</c:v>
                </c:pt>
                <c:pt idx="2">
                  <c:v>1" Pipe</c:v>
                </c:pt>
                <c:pt idx="3">
                  <c:v>1" Loose Pipe</c:v>
                </c:pt>
                <c:pt idx="4">
                  <c:v>3/4" Pipe</c:v>
                </c:pt>
                <c:pt idx="5">
                  <c:v>1" Ball Valve</c:v>
                </c:pt>
                <c:pt idx="6">
                  <c:v>Seat</c:v>
                </c:pt>
                <c:pt idx="7">
                  <c:v>Fan Hook</c:v>
                </c:pt>
                <c:pt idx="8">
                  <c:v>Tap</c:v>
                </c:pt>
                <c:pt idx="9">
                  <c:v>Steel Angle Cock</c:v>
                </c:pt>
                <c:pt idx="10">
                  <c:v>3/4" PVC Hook</c:v>
                </c:pt>
                <c:pt idx="11">
                  <c:v>Solvent 100ml</c:v>
                </c:pt>
                <c:pt idx="12">
                  <c:v>Steel Tap</c:v>
                </c:pt>
                <c:pt idx="13">
                  <c:v>Tank Cover</c:v>
                </c:pt>
                <c:pt idx="14">
                  <c:v>5" Blade</c:v>
                </c:pt>
                <c:pt idx="15">
                  <c:v>1/2" Check Valve</c:v>
                </c:pt>
                <c:pt idx="16">
                  <c:v>Hand Shower</c:v>
                </c:pt>
                <c:pt idx="17">
                  <c:v>1/2" Connection Pipe</c:v>
                </c:pt>
                <c:pt idx="18">
                  <c:v>3" Band</c:v>
                </c:pt>
                <c:pt idx="19">
                  <c:v>4" Blade</c:v>
                </c:pt>
                <c:pt idx="20">
                  <c:v>1" Union</c:v>
                </c:pt>
                <c:pt idx="21">
                  <c:v>1/2" Plug</c:v>
                </c:pt>
                <c:pt idx="22">
                  <c:v>3" Pipe</c:v>
                </c:pt>
                <c:pt idx="23">
                  <c:v>3/4" Elbow</c:v>
                </c:pt>
                <c:pt idx="24">
                  <c:v>5"x4" Syphan</c:v>
                </c:pt>
                <c:pt idx="25">
                  <c:v>3" Gold Plenjer</c:v>
                </c:pt>
                <c:pt idx="26">
                  <c:v>1" Elbow</c:v>
                </c:pt>
                <c:pt idx="27">
                  <c:v>Solvent 50ml</c:v>
                </c:pt>
                <c:pt idx="28">
                  <c:v>Pump Handle</c:v>
                </c:pt>
                <c:pt idx="29">
                  <c:v>3" Jali</c:v>
                </c:pt>
                <c:pt idx="30">
                  <c:v>3" Y Tee</c:v>
                </c:pt>
                <c:pt idx="31">
                  <c:v>4" Band</c:v>
                </c:pt>
                <c:pt idx="32">
                  <c:v>3/4"x1/2" B Elbow</c:v>
                </c:pt>
                <c:pt idx="33">
                  <c:v>Sypahn Baser</c:v>
                </c:pt>
                <c:pt idx="34">
                  <c:v>4" Tee</c:v>
                </c:pt>
                <c:pt idx="35">
                  <c:v>3" Half Band</c:v>
                </c:pt>
                <c:pt idx="36">
                  <c:v>1/2" B MTA</c:v>
                </c:pt>
                <c:pt idx="37">
                  <c:v>1" Clip</c:v>
                </c:pt>
                <c:pt idx="38">
                  <c:v>3/4" Union</c:v>
                </c:pt>
                <c:pt idx="39">
                  <c:v>PVC Solvent</c:v>
                </c:pt>
                <c:pt idx="40">
                  <c:v>3/4" Ball Valve</c:v>
                </c:pt>
                <c:pt idx="41">
                  <c:v>1" MTA</c:v>
                </c:pt>
                <c:pt idx="42">
                  <c:v>1" Tee</c:v>
                </c:pt>
                <c:pt idx="43">
                  <c:v>Nut Bolt</c:v>
                </c:pt>
                <c:pt idx="44">
                  <c:v>Jointer</c:v>
                </c:pt>
                <c:pt idx="45">
                  <c:v>Teplon</c:v>
                </c:pt>
                <c:pt idx="46">
                  <c:v>1"x3/4" Buss</c:v>
                </c:pt>
                <c:pt idx="47">
                  <c:v>3" Bocket</c:v>
                </c:pt>
                <c:pt idx="48">
                  <c:v>1" Coupler</c:v>
                </c:pt>
                <c:pt idx="49">
                  <c:v>Solvent 20ml</c:v>
                </c:pt>
              </c:strCache>
            </c:strRef>
          </c:cat>
          <c:val>
            <c:numRef>
              <c:f>'Pivot_Analysis - Week -  2'!$O$5:$O$55</c:f>
              <c:numCache>
                <c:formatCode>[$₹-439]#,##0.00</c:formatCode>
                <c:ptCount val="50"/>
                <c:pt idx="0">
                  <c:v>270</c:v>
                </c:pt>
                <c:pt idx="1">
                  <c:v>200</c:v>
                </c:pt>
                <c:pt idx="2">
                  <c:v>165</c:v>
                </c:pt>
                <c:pt idx="3">
                  <c:v>160</c:v>
                </c:pt>
                <c:pt idx="4">
                  <c:v>158.00000000000006</c:v>
                </c:pt>
                <c:pt idx="5">
                  <c:v>149</c:v>
                </c:pt>
                <c:pt idx="6">
                  <c:v>120</c:v>
                </c:pt>
                <c:pt idx="7">
                  <c:v>94.5</c:v>
                </c:pt>
                <c:pt idx="8">
                  <c:v>90</c:v>
                </c:pt>
                <c:pt idx="9">
                  <c:v>82</c:v>
                </c:pt>
                <c:pt idx="10">
                  <c:v>81.599999999999994</c:v>
                </c:pt>
                <c:pt idx="11">
                  <c:v>80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66</c:v>
                </c:pt>
                <c:pt idx="19">
                  <c:v>64.800000000000011</c:v>
                </c:pt>
                <c:pt idx="20">
                  <c:v>62</c:v>
                </c:pt>
                <c:pt idx="21">
                  <c:v>60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42</c:v>
                </c:pt>
                <c:pt idx="26">
                  <c:v>39</c:v>
                </c:pt>
                <c:pt idx="27">
                  <c:v>39</c:v>
                </c:pt>
                <c:pt idx="28">
                  <c:v>36</c:v>
                </c:pt>
                <c:pt idx="29">
                  <c:v>36</c:v>
                </c:pt>
                <c:pt idx="30">
                  <c:v>34</c:v>
                </c:pt>
                <c:pt idx="31">
                  <c:v>33</c:v>
                </c:pt>
                <c:pt idx="32">
                  <c:v>32</c:v>
                </c:pt>
                <c:pt idx="33">
                  <c:v>28</c:v>
                </c:pt>
                <c:pt idx="34">
                  <c:v>26</c:v>
                </c:pt>
                <c:pt idx="35">
                  <c:v>25</c:v>
                </c:pt>
                <c:pt idx="36">
                  <c:v>23</c:v>
                </c:pt>
                <c:pt idx="37">
                  <c:v>20</c:v>
                </c:pt>
                <c:pt idx="38">
                  <c:v>20</c:v>
                </c:pt>
                <c:pt idx="39">
                  <c:v>19</c:v>
                </c:pt>
                <c:pt idx="40">
                  <c:v>18</c:v>
                </c:pt>
                <c:pt idx="41">
                  <c:v>17</c:v>
                </c:pt>
                <c:pt idx="42">
                  <c:v>16.200000000000003</c:v>
                </c:pt>
                <c:pt idx="43">
                  <c:v>16.200000000000003</c:v>
                </c:pt>
                <c:pt idx="44">
                  <c:v>15.599999999999998</c:v>
                </c:pt>
                <c:pt idx="45">
                  <c:v>14.000000000000007</c:v>
                </c:pt>
                <c:pt idx="46">
                  <c:v>14</c:v>
                </c:pt>
                <c:pt idx="47">
                  <c:v>12.5</c:v>
                </c:pt>
                <c:pt idx="48">
                  <c:v>12</c:v>
                </c:pt>
                <c:pt idx="4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C-446A-805B-96CA261D6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2945544"/>
        <c:axId val="979490312"/>
      </c:barChart>
      <c:catAx>
        <c:axId val="92294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490312"/>
        <c:crosses val="autoZero"/>
        <c:auto val="1"/>
        <c:lblAlgn val="ctr"/>
        <c:lblOffset val="100"/>
        <c:noMultiLvlLbl val="0"/>
      </c:catAx>
      <c:valAx>
        <c:axId val="979490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945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 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 2'!$Z$4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 2'!$Y$5:$Y$55</c:f>
              <c:strCache>
                <c:ptCount val="50"/>
                <c:pt idx="0">
                  <c:v>3/4" PVC Hook</c:v>
                </c:pt>
                <c:pt idx="1">
                  <c:v>3/4" Elbow</c:v>
                </c:pt>
                <c:pt idx="2">
                  <c:v>1/2" Plug</c:v>
                </c:pt>
                <c:pt idx="3">
                  <c:v>Teplon</c:v>
                </c:pt>
                <c:pt idx="4">
                  <c:v>4" Blade</c:v>
                </c:pt>
                <c:pt idx="5">
                  <c:v>3/4" Pipe</c:v>
                </c:pt>
                <c:pt idx="6">
                  <c:v>1" Pipe</c:v>
                </c:pt>
                <c:pt idx="7">
                  <c:v>Fan Hook</c:v>
                </c:pt>
                <c:pt idx="8">
                  <c:v>4" Pipe</c:v>
                </c:pt>
                <c:pt idx="9">
                  <c:v>3" Band</c:v>
                </c:pt>
                <c:pt idx="10">
                  <c:v>1" Elbow</c:v>
                </c:pt>
                <c:pt idx="11">
                  <c:v>Nut Bolt</c:v>
                </c:pt>
                <c:pt idx="12">
                  <c:v>1" Clip</c:v>
                </c:pt>
                <c:pt idx="13">
                  <c:v>Tap</c:v>
                </c:pt>
                <c:pt idx="14">
                  <c:v>1" Coupler</c:v>
                </c:pt>
                <c:pt idx="15">
                  <c:v>1" Ball Valve</c:v>
                </c:pt>
                <c:pt idx="16">
                  <c:v>3/4"x1/2" B Elbow</c:v>
                </c:pt>
                <c:pt idx="17">
                  <c:v>1" Union</c:v>
                </c:pt>
                <c:pt idx="18">
                  <c:v>4" Band</c:v>
                </c:pt>
                <c:pt idx="19">
                  <c:v>Jointer</c:v>
                </c:pt>
                <c:pt idx="20">
                  <c:v>3/4" Cancilled</c:v>
                </c:pt>
                <c:pt idx="21">
                  <c:v>Steel Tap</c:v>
                </c:pt>
                <c:pt idx="22">
                  <c:v>3" Half Band</c:v>
                </c:pt>
                <c:pt idx="23">
                  <c:v>Solvent 50ml</c:v>
                </c:pt>
                <c:pt idx="24">
                  <c:v>3" Jali</c:v>
                </c:pt>
                <c:pt idx="25">
                  <c:v>1/2" B MTA</c:v>
                </c:pt>
                <c:pt idx="26">
                  <c:v>1" MTA</c:v>
                </c:pt>
                <c:pt idx="27">
                  <c:v>3/4" Union</c:v>
                </c:pt>
                <c:pt idx="28">
                  <c:v>3" Y Tee</c:v>
                </c:pt>
                <c:pt idx="29">
                  <c:v>Steel Angle Cock</c:v>
                </c:pt>
                <c:pt idx="30">
                  <c:v>Solvent 100ml</c:v>
                </c:pt>
                <c:pt idx="31">
                  <c:v>3" Pipe</c:v>
                </c:pt>
                <c:pt idx="32">
                  <c:v>1"x3/4" Buss</c:v>
                </c:pt>
                <c:pt idx="33">
                  <c:v>1" Tee</c:v>
                </c:pt>
                <c:pt idx="34">
                  <c:v>1/2" Connection Pipe</c:v>
                </c:pt>
                <c:pt idx="35">
                  <c:v>5" Blade</c:v>
                </c:pt>
                <c:pt idx="36">
                  <c:v>1" Loose Pipe</c:v>
                </c:pt>
                <c:pt idx="37">
                  <c:v>Tank Cover</c:v>
                </c:pt>
                <c:pt idx="38">
                  <c:v>Hand Shower</c:v>
                </c:pt>
                <c:pt idx="39">
                  <c:v>3" Bocket</c:v>
                </c:pt>
                <c:pt idx="40">
                  <c:v>4" Tee</c:v>
                </c:pt>
                <c:pt idx="41">
                  <c:v>Pump Handle</c:v>
                </c:pt>
                <c:pt idx="42">
                  <c:v>1/2" Check Valve</c:v>
                </c:pt>
                <c:pt idx="43">
                  <c:v>PVC Solvent</c:v>
                </c:pt>
                <c:pt idx="44">
                  <c:v>Sypahn Baser</c:v>
                </c:pt>
                <c:pt idx="45">
                  <c:v>Seat</c:v>
                </c:pt>
                <c:pt idx="46">
                  <c:v>3" Gold Plenjer</c:v>
                </c:pt>
                <c:pt idx="47">
                  <c:v>3/4" Ball Valve</c:v>
                </c:pt>
                <c:pt idx="48">
                  <c:v>Solvent 20ml</c:v>
                </c:pt>
                <c:pt idx="49">
                  <c:v>5"x4" Syphan</c:v>
                </c:pt>
              </c:strCache>
            </c:strRef>
          </c:cat>
          <c:val>
            <c:numRef>
              <c:f>'Pivot_Analysis - Week -  2'!$Z$5:$Z$55</c:f>
              <c:numCache>
                <c:formatCode>General</c:formatCode>
                <c:ptCount val="50"/>
                <c:pt idx="0">
                  <c:v>39</c:v>
                </c:pt>
                <c:pt idx="1">
                  <c:v>23</c:v>
                </c:pt>
                <c:pt idx="2">
                  <c:v>20</c:v>
                </c:pt>
                <c:pt idx="3">
                  <c:v>16</c:v>
                </c:pt>
                <c:pt idx="4">
                  <c:v>12</c:v>
                </c:pt>
                <c:pt idx="5">
                  <c:v>10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1-471D-B8E7-08EE0F155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382408"/>
        <c:axId val="985384456"/>
      </c:barChart>
      <c:catAx>
        <c:axId val="985382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84456"/>
        <c:crosses val="autoZero"/>
        <c:auto val="1"/>
        <c:lblAlgn val="ctr"/>
        <c:lblOffset val="100"/>
        <c:noMultiLvlLbl val="0"/>
      </c:catAx>
      <c:valAx>
        <c:axId val="98538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82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( 17 Aug - 23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- 3'!$C$4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- 3'!$B$5:$B$12</c:f>
              <c:strCache>
                <c:ptCount val="7"/>
                <c:pt idx="0">
                  <c:v>17/08/2026</c:v>
                </c:pt>
                <c:pt idx="1">
                  <c:v>18/08/2026</c:v>
                </c:pt>
                <c:pt idx="2">
                  <c:v>19/08/2026</c:v>
                </c:pt>
                <c:pt idx="3">
                  <c:v>20/08/2026</c:v>
                </c:pt>
                <c:pt idx="4">
                  <c:v>21/08/2026</c:v>
                </c:pt>
                <c:pt idx="5">
                  <c:v>22/08/2026</c:v>
                </c:pt>
                <c:pt idx="6">
                  <c:v>23/08/2026</c:v>
                </c:pt>
              </c:strCache>
            </c:strRef>
          </c:cat>
          <c:val>
            <c:numRef>
              <c:f>'Pivot_Analysis - Week - 3'!$C$5:$C$12</c:f>
              <c:numCache>
                <c:formatCode>[$₹-439]#,##0.00</c:formatCode>
                <c:ptCount val="7"/>
                <c:pt idx="0">
                  <c:v>552.5</c:v>
                </c:pt>
                <c:pt idx="1">
                  <c:v>494</c:v>
                </c:pt>
                <c:pt idx="2">
                  <c:v>377.5</c:v>
                </c:pt>
                <c:pt idx="3">
                  <c:v>855</c:v>
                </c:pt>
                <c:pt idx="4">
                  <c:v>452.4</c:v>
                </c:pt>
                <c:pt idx="5">
                  <c:v>903</c:v>
                </c:pt>
                <c:pt idx="6">
                  <c:v>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FF-4031-BCE1-6668DF5DB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889224"/>
        <c:axId val="818889224"/>
      </c:lineChart>
      <c:catAx>
        <c:axId val="85088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89224"/>
        <c:crosses val="autoZero"/>
        <c:auto val="1"/>
        <c:lblAlgn val="ctr"/>
        <c:lblOffset val="100"/>
        <c:noMultiLvlLbl val="0"/>
      </c:catAx>
      <c:valAx>
        <c:axId val="818889224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89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- 3'!$C$24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- 3'!$B$25:$B$69</c:f>
              <c:strCache>
                <c:ptCount val="44"/>
                <c:pt idx="0">
                  <c:v>1/2" Cancilled</c:v>
                </c:pt>
                <c:pt idx="1">
                  <c:v>6" Pipe</c:v>
                </c:pt>
                <c:pt idx="2">
                  <c:v>Stand Besin</c:v>
                </c:pt>
                <c:pt idx="3">
                  <c:v>Tap</c:v>
                </c:pt>
                <c:pt idx="4">
                  <c:v>3/4" Pipe</c:v>
                </c:pt>
                <c:pt idx="5">
                  <c:v>Brass Shower</c:v>
                </c:pt>
                <c:pt idx="6">
                  <c:v>4" Pipe</c:v>
                </c:pt>
                <c:pt idx="7">
                  <c:v>Motor</c:v>
                </c:pt>
                <c:pt idx="8">
                  <c:v>6" Band</c:v>
                </c:pt>
                <c:pt idx="9">
                  <c:v>3" Pipe</c:v>
                </c:pt>
                <c:pt idx="10">
                  <c:v>4" Band</c:v>
                </c:pt>
                <c:pt idx="11">
                  <c:v>Seat</c:v>
                </c:pt>
                <c:pt idx="12">
                  <c:v>6"x5" Syphan</c:v>
                </c:pt>
                <c:pt idx="13">
                  <c:v>6" Hook</c:v>
                </c:pt>
                <c:pt idx="14">
                  <c:v>Flusher</c:v>
                </c:pt>
                <c:pt idx="15">
                  <c:v>Pillar Cock</c:v>
                </c:pt>
                <c:pt idx="16">
                  <c:v>1/2" B MTA</c:v>
                </c:pt>
                <c:pt idx="17">
                  <c:v>Solvent 100ml</c:v>
                </c:pt>
                <c:pt idx="18">
                  <c:v>4" Hook</c:v>
                </c:pt>
                <c:pt idx="19">
                  <c:v>1/2"x12" Nepul</c:v>
                </c:pt>
                <c:pt idx="20">
                  <c:v>4" Half Band</c:v>
                </c:pt>
                <c:pt idx="21">
                  <c:v>Sink Cock</c:v>
                </c:pt>
                <c:pt idx="22">
                  <c:v>3" Jali</c:v>
                </c:pt>
                <c:pt idx="23">
                  <c:v>4" Y Tee</c:v>
                </c:pt>
                <c:pt idx="24">
                  <c:v>5"x4" Syphan</c:v>
                </c:pt>
                <c:pt idx="25">
                  <c:v>3/4" Coupler</c:v>
                </c:pt>
                <c:pt idx="26">
                  <c:v>Teplon</c:v>
                </c:pt>
                <c:pt idx="27">
                  <c:v>1/2" Ferul</c:v>
                </c:pt>
                <c:pt idx="28">
                  <c:v>4" Coupler</c:v>
                </c:pt>
                <c:pt idx="29">
                  <c:v>3" Hook</c:v>
                </c:pt>
                <c:pt idx="30">
                  <c:v>3/4"x1/2" B Elbow</c:v>
                </c:pt>
                <c:pt idx="31">
                  <c:v>1/2" Connection Pipe</c:v>
                </c:pt>
                <c:pt idx="32">
                  <c:v>Sypahn Baser</c:v>
                </c:pt>
                <c:pt idx="33">
                  <c:v>5" Blade</c:v>
                </c:pt>
                <c:pt idx="34">
                  <c:v>3/4" Elbow</c:v>
                </c:pt>
                <c:pt idx="35">
                  <c:v>Faster Nut</c:v>
                </c:pt>
                <c:pt idx="36">
                  <c:v>Waste Coupling</c:v>
                </c:pt>
                <c:pt idx="37">
                  <c:v>Angle Cock</c:v>
                </c:pt>
                <c:pt idx="38">
                  <c:v>Waste Pipe</c:v>
                </c:pt>
                <c:pt idx="39">
                  <c:v>4"x3" Coupler</c:v>
                </c:pt>
                <c:pt idx="40">
                  <c:v>Solvent PVC</c:v>
                </c:pt>
                <c:pt idx="41">
                  <c:v>3/4"x1/2" B FTA</c:v>
                </c:pt>
                <c:pt idx="42">
                  <c:v>White Cement</c:v>
                </c:pt>
                <c:pt idx="43">
                  <c:v>4" Blade</c:v>
                </c:pt>
              </c:strCache>
            </c:strRef>
          </c:cat>
          <c:val>
            <c:numRef>
              <c:f>'Pivot_Analysis - Week - 3'!$C$25:$C$69</c:f>
              <c:numCache>
                <c:formatCode>[$₹-439]#,##0.00</c:formatCode>
                <c:ptCount val="44"/>
                <c:pt idx="0">
                  <c:v>270</c:v>
                </c:pt>
                <c:pt idx="1">
                  <c:v>255</c:v>
                </c:pt>
                <c:pt idx="2">
                  <c:v>250</c:v>
                </c:pt>
                <c:pt idx="3">
                  <c:v>220</c:v>
                </c:pt>
                <c:pt idx="4">
                  <c:v>220</c:v>
                </c:pt>
                <c:pt idx="5">
                  <c:v>210</c:v>
                </c:pt>
                <c:pt idx="6">
                  <c:v>208</c:v>
                </c:pt>
                <c:pt idx="7">
                  <c:v>200</c:v>
                </c:pt>
                <c:pt idx="8">
                  <c:v>170</c:v>
                </c:pt>
                <c:pt idx="9">
                  <c:v>168</c:v>
                </c:pt>
                <c:pt idx="10">
                  <c:v>168</c:v>
                </c:pt>
                <c:pt idx="11">
                  <c:v>150</c:v>
                </c:pt>
                <c:pt idx="12">
                  <c:v>130</c:v>
                </c:pt>
                <c:pt idx="13">
                  <c:v>130</c:v>
                </c:pt>
                <c:pt idx="14">
                  <c:v>128</c:v>
                </c:pt>
                <c:pt idx="15">
                  <c:v>107</c:v>
                </c:pt>
                <c:pt idx="16">
                  <c:v>93</c:v>
                </c:pt>
                <c:pt idx="17">
                  <c:v>85</c:v>
                </c:pt>
                <c:pt idx="18">
                  <c:v>84</c:v>
                </c:pt>
                <c:pt idx="19">
                  <c:v>72</c:v>
                </c:pt>
                <c:pt idx="20">
                  <c:v>63</c:v>
                </c:pt>
                <c:pt idx="21">
                  <c:v>60</c:v>
                </c:pt>
                <c:pt idx="22">
                  <c:v>48</c:v>
                </c:pt>
                <c:pt idx="23">
                  <c:v>48</c:v>
                </c:pt>
                <c:pt idx="24">
                  <c:v>45</c:v>
                </c:pt>
                <c:pt idx="25">
                  <c:v>42</c:v>
                </c:pt>
                <c:pt idx="26">
                  <c:v>40</c:v>
                </c:pt>
                <c:pt idx="27">
                  <c:v>38</c:v>
                </c:pt>
                <c:pt idx="28">
                  <c:v>36</c:v>
                </c:pt>
                <c:pt idx="29">
                  <c:v>35</c:v>
                </c:pt>
                <c:pt idx="30">
                  <c:v>33</c:v>
                </c:pt>
                <c:pt idx="31">
                  <c:v>30</c:v>
                </c:pt>
                <c:pt idx="32">
                  <c:v>28</c:v>
                </c:pt>
                <c:pt idx="33">
                  <c:v>28</c:v>
                </c:pt>
                <c:pt idx="34">
                  <c:v>25</c:v>
                </c:pt>
                <c:pt idx="35">
                  <c:v>24</c:v>
                </c:pt>
                <c:pt idx="36">
                  <c:v>22</c:v>
                </c:pt>
                <c:pt idx="37">
                  <c:v>18</c:v>
                </c:pt>
                <c:pt idx="38">
                  <c:v>18</c:v>
                </c:pt>
                <c:pt idx="39">
                  <c:v>15</c:v>
                </c:pt>
                <c:pt idx="40">
                  <c:v>14</c:v>
                </c:pt>
                <c:pt idx="41">
                  <c:v>9</c:v>
                </c:pt>
                <c:pt idx="42">
                  <c:v>7</c:v>
                </c:pt>
                <c:pt idx="43">
                  <c:v>5.4000000000000021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2-4B36-8044-0782DC440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823752"/>
        <c:axId val="625825800"/>
      </c:barChart>
      <c:catAx>
        <c:axId val="62582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25800"/>
        <c:crosses val="autoZero"/>
        <c:auto val="1"/>
        <c:lblAlgn val="ctr"/>
        <c:lblOffset val="100"/>
        <c:noMultiLvlLbl val="0"/>
      </c:catAx>
      <c:valAx>
        <c:axId val="62582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2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- 3'!$C$80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- 3'!$B$81:$B$125</c:f>
              <c:strCache>
                <c:ptCount val="44"/>
                <c:pt idx="0">
                  <c:v>Teplon</c:v>
                </c:pt>
                <c:pt idx="1">
                  <c:v>4" Hook</c:v>
                </c:pt>
                <c:pt idx="2">
                  <c:v>3/4" Coupler</c:v>
                </c:pt>
                <c:pt idx="3">
                  <c:v>3/4" Pipe</c:v>
                </c:pt>
                <c:pt idx="4">
                  <c:v>6" Hook</c:v>
                </c:pt>
                <c:pt idx="5">
                  <c:v>3" Hook</c:v>
                </c:pt>
                <c:pt idx="6">
                  <c:v>Tap</c:v>
                </c:pt>
                <c:pt idx="7">
                  <c:v>3/4" Elbow</c:v>
                </c:pt>
                <c:pt idx="8">
                  <c:v>4" Band</c:v>
                </c:pt>
                <c:pt idx="9">
                  <c:v>4" Pipe</c:v>
                </c:pt>
                <c:pt idx="10">
                  <c:v>3" Pipe</c:v>
                </c:pt>
                <c:pt idx="11">
                  <c:v>4" Blade</c:v>
                </c:pt>
                <c:pt idx="12">
                  <c:v>1/2" B MTA</c:v>
                </c:pt>
                <c:pt idx="13">
                  <c:v>6" Band</c:v>
                </c:pt>
                <c:pt idx="14">
                  <c:v>3" Jali</c:v>
                </c:pt>
                <c:pt idx="15">
                  <c:v>6" Pipe</c:v>
                </c:pt>
                <c:pt idx="16">
                  <c:v>Solvent 100ml</c:v>
                </c:pt>
                <c:pt idx="17">
                  <c:v>4" Coupler</c:v>
                </c:pt>
                <c:pt idx="18">
                  <c:v>4" Half Band</c:v>
                </c:pt>
                <c:pt idx="19">
                  <c:v>4" Y Tee</c:v>
                </c:pt>
                <c:pt idx="20">
                  <c:v>1/2" Cancilled</c:v>
                </c:pt>
                <c:pt idx="21">
                  <c:v>Solvent PVC</c:v>
                </c:pt>
                <c:pt idx="22">
                  <c:v>1/2"x12" Nepul</c:v>
                </c:pt>
                <c:pt idx="23">
                  <c:v>Pillar Cock</c:v>
                </c:pt>
                <c:pt idx="24">
                  <c:v>3/4"x1/2" B Elbow</c:v>
                </c:pt>
                <c:pt idx="25">
                  <c:v>5"x4" Syphan</c:v>
                </c:pt>
                <c:pt idx="26">
                  <c:v>1/2" Ferul</c:v>
                </c:pt>
                <c:pt idx="27">
                  <c:v>Sink Cock</c:v>
                </c:pt>
                <c:pt idx="28">
                  <c:v>Sypahn Baser</c:v>
                </c:pt>
                <c:pt idx="29">
                  <c:v>4"x3" Coupler</c:v>
                </c:pt>
                <c:pt idx="30">
                  <c:v>3/4"x1/2" B FTA</c:v>
                </c:pt>
                <c:pt idx="31">
                  <c:v>Seat</c:v>
                </c:pt>
                <c:pt idx="32">
                  <c:v>White Cement</c:v>
                </c:pt>
                <c:pt idx="33">
                  <c:v>1/2" Connection Pipe</c:v>
                </c:pt>
                <c:pt idx="34">
                  <c:v>Faster Nut</c:v>
                </c:pt>
                <c:pt idx="35">
                  <c:v>Stand Besin</c:v>
                </c:pt>
                <c:pt idx="36">
                  <c:v>Flusher</c:v>
                </c:pt>
                <c:pt idx="37">
                  <c:v>Motor</c:v>
                </c:pt>
                <c:pt idx="38">
                  <c:v>6"x5" Syphan</c:v>
                </c:pt>
                <c:pt idx="39">
                  <c:v>Waste Coupling</c:v>
                </c:pt>
                <c:pt idx="40">
                  <c:v>Waste Pipe</c:v>
                </c:pt>
                <c:pt idx="41">
                  <c:v>Brass Shower</c:v>
                </c:pt>
                <c:pt idx="42">
                  <c:v>Angle Cock</c:v>
                </c:pt>
                <c:pt idx="43">
                  <c:v>5" Blade</c:v>
                </c:pt>
              </c:strCache>
            </c:strRef>
          </c:cat>
          <c:val>
            <c:numRef>
              <c:f>'Pivot_Analysis - Week - 3'!$C$81:$C$125</c:f>
              <c:numCache>
                <c:formatCode>General</c:formatCode>
                <c:ptCount val="44"/>
                <c:pt idx="0">
                  <c:v>20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8</c:v>
                </c:pt>
                <c:pt idx="9">
                  <c:v>8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3-4C7B-A359-697F68537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547464"/>
        <c:axId val="814549512"/>
      </c:barChart>
      <c:catAx>
        <c:axId val="814547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49512"/>
        <c:crosses val="autoZero"/>
        <c:auto val="1"/>
        <c:lblAlgn val="ctr"/>
        <c:lblOffset val="100"/>
        <c:noMultiLvlLbl val="0"/>
      </c:catAx>
      <c:valAx>
        <c:axId val="81454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47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( 24 Aug to 30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- 4'!$C$4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- 4'!$B$5:$B$12</c:f>
              <c:strCache>
                <c:ptCount val="7"/>
                <c:pt idx="0">
                  <c:v>24/08/2026</c:v>
                </c:pt>
                <c:pt idx="1">
                  <c:v>25/08/2026</c:v>
                </c:pt>
                <c:pt idx="2">
                  <c:v>26/08/2026</c:v>
                </c:pt>
                <c:pt idx="3">
                  <c:v>27/08/2026</c:v>
                </c:pt>
                <c:pt idx="4">
                  <c:v>28/08/2026</c:v>
                </c:pt>
                <c:pt idx="5">
                  <c:v>29/08/2026</c:v>
                </c:pt>
                <c:pt idx="6">
                  <c:v>30/08/2026</c:v>
                </c:pt>
              </c:strCache>
            </c:strRef>
          </c:cat>
          <c:val>
            <c:numRef>
              <c:f>'Pivot_Analysis - Week - 4'!$C$5:$C$12</c:f>
              <c:numCache>
                <c:formatCode>[$₹-439]#,##0.00</c:formatCode>
                <c:ptCount val="7"/>
                <c:pt idx="0">
                  <c:v>260.60000000000002</c:v>
                </c:pt>
                <c:pt idx="1">
                  <c:v>795.8</c:v>
                </c:pt>
                <c:pt idx="2">
                  <c:v>957</c:v>
                </c:pt>
                <c:pt idx="3">
                  <c:v>192.5</c:v>
                </c:pt>
                <c:pt idx="4">
                  <c:v>394</c:v>
                </c:pt>
                <c:pt idx="5">
                  <c:v>936.5</c:v>
                </c:pt>
                <c:pt idx="6">
                  <c:v>671.4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9E-4E93-863A-92B325B3B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604616"/>
        <c:axId val="1121606664"/>
      </c:lineChart>
      <c:catAx>
        <c:axId val="1121604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606664"/>
        <c:crosses val="autoZero"/>
        <c:auto val="1"/>
        <c:lblAlgn val="ctr"/>
        <c:lblOffset val="100"/>
        <c:noMultiLvlLbl val="0"/>
      </c:catAx>
      <c:valAx>
        <c:axId val="112160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604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- 4'!$C$25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- 4'!$B$26:$B$77</c:f>
              <c:strCache>
                <c:ptCount val="51"/>
                <c:pt idx="0">
                  <c:v>Motor 1HP</c:v>
                </c:pt>
                <c:pt idx="1">
                  <c:v>3/4" Pipe</c:v>
                </c:pt>
                <c:pt idx="2">
                  <c:v>1" Loose Pipe</c:v>
                </c:pt>
                <c:pt idx="3">
                  <c:v>1" Pipe</c:v>
                </c:pt>
                <c:pt idx="4">
                  <c:v>3" Y Tee</c:v>
                </c:pt>
                <c:pt idx="5">
                  <c:v>Solvent 50ml</c:v>
                </c:pt>
                <c:pt idx="6">
                  <c:v>3/4" Check Valve</c:v>
                </c:pt>
                <c:pt idx="7">
                  <c:v>1"×1/2" B Elbow</c:v>
                </c:pt>
                <c:pt idx="8">
                  <c:v>3" Pipe</c:v>
                </c:pt>
                <c:pt idx="9">
                  <c:v>4" Pipe</c:v>
                </c:pt>
                <c:pt idx="10">
                  <c:v>Wash Besin</c:v>
                </c:pt>
                <c:pt idx="11">
                  <c:v>1" Elbow</c:v>
                </c:pt>
                <c:pt idx="12">
                  <c:v>4" Band</c:v>
                </c:pt>
                <c:pt idx="13">
                  <c:v>1/2" Plug</c:v>
                </c:pt>
                <c:pt idx="14">
                  <c:v>1"×1/2" B Tee</c:v>
                </c:pt>
                <c:pt idx="15">
                  <c:v>GI Hook</c:v>
                </c:pt>
                <c:pt idx="16">
                  <c:v>4" Tee</c:v>
                </c:pt>
                <c:pt idx="17">
                  <c:v>Tap</c:v>
                </c:pt>
                <c:pt idx="18">
                  <c:v>1"×12" Nepul</c:v>
                </c:pt>
                <c:pt idx="19">
                  <c:v>3" Half Band</c:v>
                </c:pt>
                <c:pt idx="20">
                  <c:v>1/2" Ferul</c:v>
                </c:pt>
                <c:pt idx="21">
                  <c:v>3/4" Ferul</c:v>
                </c:pt>
                <c:pt idx="22">
                  <c:v>4" Blade</c:v>
                </c:pt>
                <c:pt idx="23">
                  <c:v>1/2" Check Valve</c:v>
                </c:pt>
                <c:pt idx="24">
                  <c:v>3/4" Elbow</c:v>
                </c:pt>
                <c:pt idx="25">
                  <c:v>3/4"×1/2" B Elbow</c:v>
                </c:pt>
                <c:pt idx="26">
                  <c:v>Wash Besin Tap</c:v>
                </c:pt>
                <c:pt idx="27">
                  <c:v>3/4" Coupler</c:v>
                </c:pt>
                <c:pt idx="28">
                  <c:v>1" Coupler</c:v>
                </c:pt>
                <c:pt idx="29">
                  <c:v>3/4 " Elbow</c:v>
                </c:pt>
                <c:pt idx="30">
                  <c:v>Solvent 40ml</c:v>
                </c:pt>
                <c:pt idx="31">
                  <c:v>3/4" B FTA</c:v>
                </c:pt>
                <c:pt idx="32">
                  <c:v>Loha Brush</c:v>
                </c:pt>
                <c:pt idx="33">
                  <c:v>Clip</c:v>
                </c:pt>
                <c:pt idx="34">
                  <c:v>Waste Couplin</c:v>
                </c:pt>
                <c:pt idx="35">
                  <c:v>1"×3/4" Buss</c:v>
                </c:pt>
                <c:pt idx="36">
                  <c:v>1"×3/4" Tee</c:v>
                </c:pt>
                <c:pt idx="37">
                  <c:v>White Cement</c:v>
                </c:pt>
                <c:pt idx="38">
                  <c:v>1"×3/4" Coupler</c:v>
                </c:pt>
                <c:pt idx="39">
                  <c:v>3" Jali</c:v>
                </c:pt>
                <c:pt idx="40">
                  <c:v>Solvent</c:v>
                </c:pt>
                <c:pt idx="41">
                  <c:v>Waste Pipe</c:v>
                </c:pt>
                <c:pt idx="42">
                  <c:v>Solvent PVC</c:v>
                </c:pt>
                <c:pt idx="43">
                  <c:v>Solvent 10ml</c:v>
                </c:pt>
                <c:pt idx="44">
                  <c:v>3" Coupler</c:v>
                </c:pt>
                <c:pt idx="45">
                  <c:v>Faster Nut</c:v>
                </c:pt>
                <c:pt idx="46">
                  <c:v>1"×3/4" Elbow</c:v>
                </c:pt>
                <c:pt idx="47">
                  <c:v>Jointer</c:v>
                </c:pt>
                <c:pt idx="48">
                  <c:v>Aree Blade</c:v>
                </c:pt>
                <c:pt idx="49">
                  <c:v>M-Seal</c:v>
                </c:pt>
                <c:pt idx="50">
                  <c:v>1" MTA</c:v>
                </c:pt>
              </c:strCache>
            </c:strRef>
          </c:cat>
          <c:val>
            <c:numRef>
              <c:f>'Pivot_Analysis - Week - 4'!$C$26:$C$77</c:f>
              <c:numCache>
                <c:formatCode>[$₹-439]#,##0.00</c:formatCode>
                <c:ptCount val="51"/>
                <c:pt idx="0">
                  <c:v>450</c:v>
                </c:pt>
                <c:pt idx="1">
                  <c:v>377</c:v>
                </c:pt>
                <c:pt idx="2">
                  <c:v>274</c:v>
                </c:pt>
                <c:pt idx="3">
                  <c:v>255</c:v>
                </c:pt>
                <c:pt idx="4">
                  <c:v>200</c:v>
                </c:pt>
                <c:pt idx="5">
                  <c:v>194</c:v>
                </c:pt>
                <c:pt idx="6">
                  <c:v>190</c:v>
                </c:pt>
                <c:pt idx="7">
                  <c:v>186</c:v>
                </c:pt>
                <c:pt idx="8">
                  <c:v>168</c:v>
                </c:pt>
                <c:pt idx="9">
                  <c:v>141</c:v>
                </c:pt>
                <c:pt idx="10">
                  <c:v>138</c:v>
                </c:pt>
                <c:pt idx="11">
                  <c:v>128</c:v>
                </c:pt>
                <c:pt idx="12">
                  <c:v>126</c:v>
                </c:pt>
                <c:pt idx="13">
                  <c:v>110</c:v>
                </c:pt>
                <c:pt idx="14">
                  <c:v>100</c:v>
                </c:pt>
                <c:pt idx="15">
                  <c:v>84.999999999999972</c:v>
                </c:pt>
                <c:pt idx="16">
                  <c:v>78</c:v>
                </c:pt>
                <c:pt idx="17">
                  <c:v>72</c:v>
                </c:pt>
                <c:pt idx="18">
                  <c:v>72</c:v>
                </c:pt>
                <c:pt idx="19">
                  <c:v>72</c:v>
                </c:pt>
                <c:pt idx="20">
                  <c:v>72</c:v>
                </c:pt>
                <c:pt idx="21">
                  <c:v>64</c:v>
                </c:pt>
                <c:pt idx="22">
                  <c:v>60</c:v>
                </c:pt>
                <c:pt idx="23">
                  <c:v>56</c:v>
                </c:pt>
                <c:pt idx="24">
                  <c:v>50</c:v>
                </c:pt>
                <c:pt idx="25">
                  <c:v>45</c:v>
                </c:pt>
                <c:pt idx="26">
                  <c:v>40</c:v>
                </c:pt>
                <c:pt idx="27">
                  <c:v>39.599999999999994</c:v>
                </c:pt>
                <c:pt idx="28">
                  <c:v>37.5</c:v>
                </c:pt>
                <c:pt idx="29">
                  <c:v>30</c:v>
                </c:pt>
                <c:pt idx="30">
                  <c:v>27</c:v>
                </c:pt>
                <c:pt idx="31">
                  <c:v>26</c:v>
                </c:pt>
                <c:pt idx="32">
                  <c:v>26</c:v>
                </c:pt>
                <c:pt idx="33">
                  <c:v>24</c:v>
                </c:pt>
                <c:pt idx="34">
                  <c:v>22</c:v>
                </c:pt>
                <c:pt idx="35">
                  <c:v>16</c:v>
                </c:pt>
                <c:pt idx="36">
                  <c:v>14</c:v>
                </c:pt>
                <c:pt idx="37">
                  <c:v>14</c:v>
                </c:pt>
                <c:pt idx="38">
                  <c:v>14</c:v>
                </c:pt>
                <c:pt idx="39">
                  <c:v>14</c:v>
                </c:pt>
                <c:pt idx="40">
                  <c:v>13</c:v>
                </c:pt>
                <c:pt idx="41">
                  <c:v>13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9</c:v>
                </c:pt>
                <c:pt idx="46">
                  <c:v>8</c:v>
                </c:pt>
                <c:pt idx="47">
                  <c:v>6.7999999999999972</c:v>
                </c:pt>
                <c:pt idx="48">
                  <c:v>6.4000000000000057</c:v>
                </c:pt>
                <c:pt idx="49">
                  <c:v>4.5000000000000018</c:v>
                </c:pt>
                <c:pt idx="5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B-4AC7-9F2F-EFD2FC3FF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442568"/>
        <c:axId val="29921287"/>
      </c:barChart>
      <c:catAx>
        <c:axId val="126944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21287"/>
        <c:crosses val="autoZero"/>
        <c:auto val="1"/>
        <c:lblAlgn val="ctr"/>
        <c:lblOffset val="100"/>
        <c:noMultiLvlLbl val="0"/>
      </c:catAx>
      <c:valAx>
        <c:axId val="29921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442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- 4'!$C$86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- 4'!$B$87:$B$138</c:f>
              <c:strCache>
                <c:ptCount val="51"/>
                <c:pt idx="0">
                  <c:v>GI Hook</c:v>
                </c:pt>
                <c:pt idx="1">
                  <c:v>3/4" Pipe</c:v>
                </c:pt>
                <c:pt idx="2">
                  <c:v>1" Elbow</c:v>
                </c:pt>
                <c:pt idx="3">
                  <c:v>3/4" Coupler</c:v>
                </c:pt>
                <c:pt idx="4">
                  <c:v>1/2" Plug</c:v>
                </c:pt>
                <c:pt idx="5">
                  <c:v>3/4" Elbow</c:v>
                </c:pt>
                <c:pt idx="6">
                  <c:v>1" Coupler</c:v>
                </c:pt>
                <c:pt idx="7">
                  <c:v>1" Pipe</c:v>
                </c:pt>
                <c:pt idx="8">
                  <c:v>3/4 " Elbow</c:v>
                </c:pt>
                <c:pt idx="9">
                  <c:v>Clip</c:v>
                </c:pt>
                <c:pt idx="10">
                  <c:v>Solvent 50ml</c:v>
                </c:pt>
                <c:pt idx="11">
                  <c:v>Aree Blade</c:v>
                </c:pt>
                <c:pt idx="12">
                  <c:v>3" Y Tee</c:v>
                </c:pt>
                <c:pt idx="13">
                  <c:v>3" Half Band</c:v>
                </c:pt>
                <c:pt idx="14">
                  <c:v>3" Pipe</c:v>
                </c:pt>
                <c:pt idx="15">
                  <c:v>1"×1/2" B Elbow</c:v>
                </c:pt>
                <c:pt idx="16">
                  <c:v>4" Band</c:v>
                </c:pt>
                <c:pt idx="17">
                  <c:v>M-Seal</c:v>
                </c:pt>
                <c:pt idx="18">
                  <c:v>Jointer</c:v>
                </c:pt>
                <c:pt idx="19">
                  <c:v>1"×3/4" Buss</c:v>
                </c:pt>
                <c:pt idx="20">
                  <c:v>1" MTA</c:v>
                </c:pt>
                <c:pt idx="21">
                  <c:v>Tap</c:v>
                </c:pt>
                <c:pt idx="22">
                  <c:v>1"×1/2" B Tee</c:v>
                </c:pt>
                <c:pt idx="23">
                  <c:v>3/4"×1/2" B Elbow</c:v>
                </c:pt>
                <c:pt idx="24">
                  <c:v>Solvent 40ml</c:v>
                </c:pt>
                <c:pt idx="25">
                  <c:v>4" Pipe</c:v>
                </c:pt>
                <c:pt idx="26">
                  <c:v>3/4" Check Valve</c:v>
                </c:pt>
                <c:pt idx="27">
                  <c:v>4" Blade</c:v>
                </c:pt>
                <c:pt idx="28">
                  <c:v>4" Tee</c:v>
                </c:pt>
                <c:pt idx="29">
                  <c:v>1/2" Ferul</c:v>
                </c:pt>
                <c:pt idx="30">
                  <c:v>Loha Brush</c:v>
                </c:pt>
                <c:pt idx="31">
                  <c:v>White Cement</c:v>
                </c:pt>
                <c:pt idx="32">
                  <c:v>1"×12" Nepul</c:v>
                </c:pt>
                <c:pt idx="33">
                  <c:v>Solvent 10ml</c:v>
                </c:pt>
                <c:pt idx="34">
                  <c:v>1"×3/4" Coupler</c:v>
                </c:pt>
                <c:pt idx="35">
                  <c:v>1"×3/4" Elbow</c:v>
                </c:pt>
                <c:pt idx="36">
                  <c:v>1/2" Check Valve</c:v>
                </c:pt>
                <c:pt idx="37">
                  <c:v>3" Jali</c:v>
                </c:pt>
                <c:pt idx="38">
                  <c:v>1"×3/4" Tee</c:v>
                </c:pt>
                <c:pt idx="39">
                  <c:v>Wash Besin</c:v>
                </c:pt>
                <c:pt idx="40">
                  <c:v>3/4" B FTA</c:v>
                </c:pt>
                <c:pt idx="41">
                  <c:v>Waste Couplin</c:v>
                </c:pt>
                <c:pt idx="42">
                  <c:v>Solvent</c:v>
                </c:pt>
                <c:pt idx="43">
                  <c:v>Motor 1HP</c:v>
                </c:pt>
                <c:pt idx="44">
                  <c:v>1" Loose Pipe</c:v>
                </c:pt>
                <c:pt idx="45">
                  <c:v>Wash Besin Tap</c:v>
                </c:pt>
                <c:pt idx="46">
                  <c:v>3" Coupler</c:v>
                </c:pt>
                <c:pt idx="47">
                  <c:v>Waste Pipe</c:v>
                </c:pt>
                <c:pt idx="48">
                  <c:v>Faster Nut</c:v>
                </c:pt>
                <c:pt idx="49">
                  <c:v>Solvent PVC</c:v>
                </c:pt>
                <c:pt idx="50">
                  <c:v>3/4" Ferul</c:v>
                </c:pt>
              </c:strCache>
            </c:strRef>
          </c:cat>
          <c:val>
            <c:numRef>
              <c:f>'Pivot_Analysis - Week - 4'!$C$87:$C$138</c:f>
              <c:numCache>
                <c:formatCode>General</c:formatCode>
                <c:ptCount val="51"/>
                <c:pt idx="0">
                  <c:v>50</c:v>
                </c:pt>
                <c:pt idx="1">
                  <c:v>33</c:v>
                </c:pt>
                <c:pt idx="2">
                  <c:v>32</c:v>
                </c:pt>
                <c:pt idx="3">
                  <c:v>26</c:v>
                </c:pt>
                <c:pt idx="4">
                  <c:v>20</c:v>
                </c:pt>
                <c:pt idx="5">
                  <c:v>20</c:v>
                </c:pt>
                <c:pt idx="6">
                  <c:v>15</c:v>
                </c:pt>
                <c:pt idx="7">
                  <c:v>15</c:v>
                </c:pt>
                <c:pt idx="8">
                  <c:v>12</c:v>
                </c:pt>
                <c:pt idx="9">
                  <c:v>12</c:v>
                </c:pt>
                <c:pt idx="10">
                  <c:v>9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2-4462-BD69-46D7D8648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361095"/>
        <c:axId val="1055891976"/>
      </c:barChart>
      <c:catAx>
        <c:axId val="1422361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891976"/>
        <c:crosses val="autoZero"/>
        <c:auto val="1"/>
        <c:lblAlgn val="ctr"/>
        <c:lblOffset val="100"/>
        <c:noMultiLvlLbl val="0"/>
      </c:catAx>
      <c:valAx>
        <c:axId val="105589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361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- 6!PivotTable1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( 07 Sep to 13 Sep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- 6'!$C$4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- 6'!$B$5:$B$12</c:f>
              <c:strCache>
                <c:ptCount val="7"/>
                <c:pt idx="0">
                  <c:v>07/09/2026</c:v>
                </c:pt>
                <c:pt idx="1">
                  <c:v>08/09/2026</c:v>
                </c:pt>
                <c:pt idx="2">
                  <c:v>09/09/2026</c:v>
                </c:pt>
                <c:pt idx="3">
                  <c:v>10/09/2026</c:v>
                </c:pt>
                <c:pt idx="4">
                  <c:v>11/09/2026</c:v>
                </c:pt>
                <c:pt idx="5">
                  <c:v>12/09/2026</c:v>
                </c:pt>
                <c:pt idx="6">
                  <c:v>13/09/2026</c:v>
                </c:pt>
              </c:strCache>
            </c:strRef>
          </c:cat>
          <c:val>
            <c:numRef>
              <c:f>'Pivot_Analysis - Week - 6'!$C$5:$C$12</c:f>
              <c:numCache>
                <c:formatCode>[$₹-439]#,##0.00</c:formatCode>
                <c:ptCount val="7"/>
                <c:pt idx="0">
                  <c:v>783</c:v>
                </c:pt>
                <c:pt idx="1">
                  <c:v>753.6</c:v>
                </c:pt>
                <c:pt idx="2">
                  <c:v>481.5</c:v>
                </c:pt>
                <c:pt idx="3">
                  <c:v>446</c:v>
                </c:pt>
                <c:pt idx="4">
                  <c:v>526</c:v>
                </c:pt>
                <c:pt idx="5">
                  <c:v>322.5</c:v>
                </c:pt>
                <c:pt idx="6">
                  <c:v>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90-4A96-8E03-852228B9A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66695"/>
        <c:axId val="12546567"/>
      </c:lineChart>
      <c:catAx>
        <c:axId val="12466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6567"/>
        <c:crosses val="autoZero"/>
        <c:auto val="1"/>
        <c:lblAlgn val="ctr"/>
        <c:lblOffset val="100"/>
        <c:noMultiLvlLbl val="0"/>
      </c:catAx>
      <c:valAx>
        <c:axId val="12546567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6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- 6!PivotTable2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- 6'!$C$24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- 6'!$B$25:$B$68</c:f>
              <c:strCache>
                <c:ptCount val="43"/>
                <c:pt idx="0">
                  <c:v>Aree Blade</c:v>
                </c:pt>
                <c:pt idx="1">
                  <c:v>PVC Hook</c:v>
                </c:pt>
                <c:pt idx="2">
                  <c:v>3/4" Pipe</c:v>
                </c:pt>
                <c:pt idx="3">
                  <c:v>M-Seal</c:v>
                </c:pt>
                <c:pt idx="4">
                  <c:v>Tap</c:v>
                </c:pt>
                <c:pt idx="5">
                  <c:v>4" Pipe</c:v>
                </c:pt>
                <c:pt idx="6">
                  <c:v>1" Pipe</c:v>
                </c:pt>
                <c:pt idx="7">
                  <c:v>Teplon</c:v>
                </c:pt>
                <c:pt idx="8">
                  <c:v>4" Band</c:v>
                </c:pt>
                <c:pt idx="9">
                  <c:v>3" Band</c:v>
                </c:pt>
                <c:pt idx="10">
                  <c:v>4" Elbow</c:v>
                </c:pt>
                <c:pt idx="11">
                  <c:v>4" Coupler</c:v>
                </c:pt>
                <c:pt idx="12">
                  <c:v>1" Coupler</c:v>
                </c:pt>
                <c:pt idx="13">
                  <c:v>3" Coupler</c:v>
                </c:pt>
                <c:pt idx="14">
                  <c:v>Solvent PVC</c:v>
                </c:pt>
                <c:pt idx="15">
                  <c:v>Solvent 10ml</c:v>
                </c:pt>
                <c:pt idx="16">
                  <c:v>4" Tee</c:v>
                </c:pt>
                <c:pt idx="17">
                  <c:v>1" Elbow</c:v>
                </c:pt>
                <c:pt idx="18">
                  <c:v>3" Bocket</c:v>
                </c:pt>
                <c:pt idx="19">
                  <c:v>Toilet Seat</c:v>
                </c:pt>
                <c:pt idx="20">
                  <c:v>Fan Hook</c:v>
                </c:pt>
                <c:pt idx="21">
                  <c:v>Cream</c:v>
                </c:pt>
                <c:pt idx="22">
                  <c:v>3" Pipe</c:v>
                </c:pt>
                <c:pt idx="23">
                  <c:v>4" Half Band</c:v>
                </c:pt>
                <c:pt idx="24">
                  <c:v>Tap (Sink)</c:v>
                </c:pt>
                <c:pt idx="25">
                  <c:v>Solvent 50ml</c:v>
                </c:pt>
                <c:pt idx="26">
                  <c:v>Tank 1000 Ltr</c:v>
                </c:pt>
                <c:pt idx="27">
                  <c:v>Stand Besin</c:v>
                </c:pt>
                <c:pt idx="28">
                  <c:v>Solvent</c:v>
                </c:pt>
                <c:pt idx="29">
                  <c:v>Solvent 100ml</c:v>
                </c:pt>
                <c:pt idx="30">
                  <c:v>3" Tee</c:v>
                </c:pt>
                <c:pt idx="31">
                  <c:v>Connection Pipe</c:v>
                </c:pt>
                <c:pt idx="32">
                  <c:v>4" Y Tee</c:v>
                </c:pt>
                <c:pt idx="33">
                  <c:v>Waste Pipe</c:v>
                </c:pt>
                <c:pt idx="34">
                  <c:v>Angle Cock</c:v>
                </c:pt>
                <c:pt idx="35">
                  <c:v>1" Ball Valve</c:v>
                </c:pt>
                <c:pt idx="36">
                  <c:v>5"×4" Jointer</c:v>
                </c:pt>
                <c:pt idx="37">
                  <c:v>5" Syphan</c:v>
                </c:pt>
                <c:pt idx="38">
                  <c:v>5"x4" Syphan</c:v>
                </c:pt>
                <c:pt idx="39">
                  <c:v>Tank Cover</c:v>
                </c:pt>
                <c:pt idx="40">
                  <c:v>Shower</c:v>
                </c:pt>
                <c:pt idx="41">
                  <c:v>Handpump</c:v>
                </c:pt>
                <c:pt idx="42">
                  <c:v>Loose Pipe</c:v>
                </c:pt>
              </c:strCache>
            </c:strRef>
          </c:cat>
          <c:val>
            <c:numRef>
              <c:f>'Pivot_Analysis - Week - 6'!$C$25:$C$68</c:f>
              <c:numCache>
                <c:formatCode>General</c:formatCode>
                <c:ptCount val="43"/>
                <c:pt idx="0">
                  <c:v>25</c:v>
                </c:pt>
                <c:pt idx="1">
                  <c:v>20</c:v>
                </c:pt>
                <c:pt idx="2">
                  <c:v>20</c:v>
                </c:pt>
                <c:pt idx="3">
                  <c:v>19</c:v>
                </c:pt>
                <c:pt idx="4">
                  <c:v>13</c:v>
                </c:pt>
                <c:pt idx="5">
                  <c:v>13</c:v>
                </c:pt>
                <c:pt idx="6">
                  <c:v>12</c:v>
                </c:pt>
                <c:pt idx="7">
                  <c:v>10</c:v>
                </c:pt>
                <c:pt idx="8">
                  <c:v>8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C-40EB-9FED-931646EF9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8376712"/>
        <c:axId val="2138378760"/>
      </c:barChart>
      <c:catAx>
        <c:axId val="2138376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378760"/>
        <c:crosses val="autoZero"/>
        <c:auto val="1"/>
        <c:lblAlgn val="ctr"/>
        <c:lblOffset val="100"/>
        <c:noMultiLvlLbl val="0"/>
      </c:catAx>
      <c:valAx>
        <c:axId val="213837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376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- 6!PivotTable3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- 6'!$C$77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- 6'!$B$78:$B$121</c:f>
              <c:strCache>
                <c:ptCount val="43"/>
                <c:pt idx="0">
                  <c:v>4" Pipe</c:v>
                </c:pt>
                <c:pt idx="1">
                  <c:v>Toilet Seat</c:v>
                </c:pt>
                <c:pt idx="2">
                  <c:v>Tank 1000 Ltr</c:v>
                </c:pt>
                <c:pt idx="3">
                  <c:v>Stand Besin</c:v>
                </c:pt>
                <c:pt idx="4">
                  <c:v>3/4" Pipe</c:v>
                </c:pt>
                <c:pt idx="5">
                  <c:v>Loose Pipe</c:v>
                </c:pt>
                <c:pt idx="6">
                  <c:v>Solvent 100ml</c:v>
                </c:pt>
                <c:pt idx="7">
                  <c:v>Tank Cover</c:v>
                </c:pt>
                <c:pt idx="8">
                  <c:v>Handpump</c:v>
                </c:pt>
                <c:pt idx="9">
                  <c:v>1" Pipe</c:v>
                </c:pt>
                <c:pt idx="10">
                  <c:v>4" Elbow</c:v>
                </c:pt>
                <c:pt idx="11">
                  <c:v>Tap</c:v>
                </c:pt>
                <c:pt idx="12">
                  <c:v>4" Tee</c:v>
                </c:pt>
                <c:pt idx="13">
                  <c:v>Shower</c:v>
                </c:pt>
                <c:pt idx="14">
                  <c:v>Tap (Sink)</c:v>
                </c:pt>
                <c:pt idx="15">
                  <c:v>4" Band</c:v>
                </c:pt>
                <c:pt idx="16">
                  <c:v>4" Coupler</c:v>
                </c:pt>
                <c:pt idx="17">
                  <c:v>Cream</c:v>
                </c:pt>
                <c:pt idx="18">
                  <c:v>3" Band</c:v>
                </c:pt>
                <c:pt idx="19">
                  <c:v>1" Ball Valve</c:v>
                </c:pt>
                <c:pt idx="20">
                  <c:v>4" Y Tee</c:v>
                </c:pt>
                <c:pt idx="21">
                  <c:v>3" Coupler</c:v>
                </c:pt>
                <c:pt idx="22">
                  <c:v>4" Half Band</c:v>
                </c:pt>
                <c:pt idx="23">
                  <c:v>Connection Pipe</c:v>
                </c:pt>
                <c:pt idx="24">
                  <c:v>Solvent</c:v>
                </c:pt>
                <c:pt idx="25">
                  <c:v>5" Syphan</c:v>
                </c:pt>
                <c:pt idx="26">
                  <c:v>Teplon</c:v>
                </c:pt>
                <c:pt idx="27">
                  <c:v>3" Pipe</c:v>
                </c:pt>
                <c:pt idx="28">
                  <c:v>5"x4" Syphan</c:v>
                </c:pt>
                <c:pt idx="29">
                  <c:v>Waste Pipe</c:v>
                </c:pt>
                <c:pt idx="30">
                  <c:v>Solvent 10ml</c:v>
                </c:pt>
                <c:pt idx="31">
                  <c:v>Angle Cock</c:v>
                </c:pt>
                <c:pt idx="32">
                  <c:v>3" Tee</c:v>
                </c:pt>
                <c:pt idx="33">
                  <c:v>Fan Hook</c:v>
                </c:pt>
                <c:pt idx="34">
                  <c:v>5"×4" Jointer</c:v>
                </c:pt>
                <c:pt idx="35">
                  <c:v>Solvent PVC</c:v>
                </c:pt>
                <c:pt idx="36">
                  <c:v>Solvent 50ml</c:v>
                </c:pt>
                <c:pt idx="37">
                  <c:v>1" Coupler</c:v>
                </c:pt>
                <c:pt idx="38">
                  <c:v>3" Bocket</c:v>
                </c:pt>
                <c:pt idx="39">
                  <c:v>Aree Blade</c:v>
                </c:pt>
                <c:pt idx="40">
                  <c:v>PVC Hook</c:v>
                </c:pt>
                <c:pt idx="41">
                  <c:v>M-Seal</c:v>
                </c:pt>
                <c:pt idx="42">
                  <c:v>1" Elbow</c:v>
                </c:pt>
              </c:strCache>
            </c:strRef>
          </c:cat>
          <c:val>
            <c:numRef>
              <c:f>'Pivot_Analysis - Week - 6'!$C$78:$C$121</c:f>
              <c:numCache>
                <c:formatCode>[$₹-439]#,##0.00</c:formatCode>
                <c:ptCount val="43"/>
                <c:pt idx="0">
                  <c:v>468</c:v>
                </c:pt>
                <c:pt idx="1">
                  <c:v>460</c:v>
                </c:pt>
                <c:pt idx="2">
                  <c:v>400</c:v>
                </c:pt>
                <c:pt idx="3">
                  <c:v>260</c:v>
                </c:pt>
                <c:pt idx="4">
                  <c:v>260</c:v>
                </c:pt>
                <c:pt idx="5">
                  <c:v>140</c:v>
                </c:pt>
                <c:pt idx="6">
                  <c:v>136</c:v>
                </c:pt>
                <c:pt idx="7">
                  <c:v>130</c:v>
                </c:pt>
                <c:pt idx="8">
                  <c:v>120</c:v>
                </c:pt>
                <c:pt idx="9">
                  <c:v>120</c:v>
                </c:pt>
                <c:pt idx="10">
                  <c:v>114</c:v>
                </c:pt>
                <c:pt idx="11">
                  <c:v>104</c:v>
                </c:pt>
                <c:pt idx="12">
                  <c:v>80</c:v>
                </c:pt>
                <c:pt idx="13">
                  <c:v>70</c:v>
                </c:pt>
                <c:pt idx="14">
                  <c:v>60</c:v>
                </c:pt>
                <c:pt idx="15">
                  <c:v>56</c:v>
                </c:pt>
                <c:pt idx="16">
                  <c:v>54</c:v>
                </c:pt>
                <c:pt idx="17">
                  <c:v>54</c:v>
                </c:pt>
                <c:pt idx="18">
                  <c:v>54</c:v>
                </c:pt>
                <c:pt idx="19">
                  <c:v>52</c:v>
                </c:pt>
                <c:pt idx="20">
                  <c:v>50</c:v>
                </c:pt>
                <c:pt idx="21">
                  <c:v>45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35</c:v>
                </c:pt>
                <c:pt idx="27">
                  <c:v>34</c:v>
                </c:pt>
                <c:pt idx="28">
                  <c:v>30</c:v>
                </c:pt>
                <c:pt idx="29">
                  <c:v>30</c:v>
                </c:pt>
                <c:pt idx="30">
                  <c:v>28</c:v>
                </c:pt>
                <c:pt idx="31">
                  <c:v>26</c:v>
                </c:pt>
                <c:pt idx="32">
                  <c:v>24</c:v>
                </c:pt>
                <c:pt idx="33">
                  <c:v>24</c:v>
                </c:pt>
                <c:pt idx="34">
                  <c:v>21</c:v>
                </c:pt>
                <c:pt idx="35">
                  <c:v>20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16.100000000000009</c:v>
                </c:pt>
                <c:pt idx="40">
                  <c:v>15.999999999999996</c:v>
                </c:pt>
                <c:pt idx="41">
                  <c:v>15.5</c:v>
                </c:pt>
                <c:pt idx="4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4-423B-8B1E-C12ED6E9C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16391"/>
        <c:axId val="36409351"/>
      </c:barChart>
      <c:catAx>
        <c:axId val="22416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09351"/>
        <c:crosses val="autoZero"/>
        <c:auto val="1"/>
        <c:lblAlgn val="ctr"/>
        <c:lblOffset val="100"/>
        <c:noMultiLvlLbl val="0"/>
      </c:catAx>
      <c:valAx>
        <c:axId val="36409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6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( 31 Aug - 06 Sep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- 5'!$C$4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- 5'!$B$5:$B$12</c:f>
              <c:strCache>
                <c:ptCount val="7"/>
                <c:pt idx="0">
                  <c:v>31/08/2026</c:v>
                </c:pt>
                <c:pt idx="1">
                  <c:v>01/09/2026</c:v>
                </c:pt>
                <c:pt idx="2">
                  <c:v>02/09/2026</c:v>
                </c:pt>
                <c:pt idx="3">
                  <c:v>03/09/2026</c:v>
                </c:pt>
                <c:pt idx="4">
                  <c:v>04/09/2026</c:v>
                </c:pt>
                <c:pt idx="5">
                  <c:v>05/09/2026</c:v>
                </c:pt>
                <c:pt idx="6">
                  <c:v>06/09/2026</c:v>
                </c:pt>
              </c:strCache>
            </c:strRef>
          </c:cat>
          <c:val>
            <c:numRef>
              <c:f>'Pivot_Analysis - Week - 5'!$C$5:$C$12</c:f>
              <c:numCache>
                <c:formatCode>[$₹-439]#,##0.00</c:formatCode>
                <c:ptCount val="7"/>
                <c:pt idx="0">
                  <c:v>1064</c:v>
                </c:pt>
                <c:pt idx="1">
                  <c:v>813.4</c:v>
                </c:pt>
                <c:pt idx="2">
                  <c:v>853.6</c:v>
                </c:pt>
                <c:pt idx="3">
                  <c:v>299</c:v>
                </c:pt>
                <c:pt idx="4">
                  <c:v>755.5</c:v>
                </c:pt>
                <c:pt idx="5">
                  <c:v>376.6</c:v>
                </c:pt>
                <c:pt idx="6">
                  <c:v>688.25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AD-4658-ADC1-837E02333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48456"/>
        <c:axId val="17481224"/>
      </c:lineChart>
      <c:catAx>
        <c:axId val="17448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1224"/>
        <c:crosses val="autoZero"/>
        <c:auto val="1"/>
        <c:lblAlgn val="ctr"/>
        <c:lblOffset val="100"/>
        <c:noMultiLvlLbl val="0"/>
      </c:catAx>
      <c:valAx>
        <c:axId val="1748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8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- 5'!$C$28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- 5'!$B$29:$B$72</c:f>
              <c:strCache>
                <c:ptCount val="43"/>
                <c:pt idx="0">
                  <c:v>3/4" Pipe</c:v>
                </c:pt>
                <c:pt idx="1">
                  <c:v>2 in 1 Diverter</c:v>
                </c:pt>
                <c:pt idx="2">
                  <c:v>Motor 1/2HP</c:v>
                </c:pt>
                <c:pt idx="3">
                  <c:v>Sit (Hindware)</c:v>
                </c:pt>
                <c:pt idx="4">
                  <c:v>Motor</c:v>
                </c:pt>
                <c:pt idx="5">
                  <c:v>3" Pipe</c:v>
                </c:pt>
                <c:pt idx="6">
                  <c:v>4" Pipe</c:v>
                </c:pt>
                <c:pt idx="7">
                  <c:v>1" Baipass</c:v>
                </c:pt>
                <c:pt idx="8">
                  <c:v>1/2" Loose Pipe</c:v>
                </c:pt>
                <c:pt idx="9">
                  <c:v>4" Band</c:v>
                </c:pt>
                <c:pt idx="10">
                  <c:v>Solvent 100ml</c:v>
                </c:pt>
                <c:pt idx="11">
                  <c:v>1" Pipe</c:v>
                </c:pt>
                <c:pt idx="12">
                  <c:v>3/4" Ferul</c:v>
                </c:pt>
                <c:pt idx="13">
                  <c:v>Loose Pipe</c:v>
                </c:pt>
                <c:pt idx="14">
                  <c:v>3/4" Baipass</c:v>
                </c:pt>
                <c:pt idx="15">
                  <c:v>Solvent 50ml</c:v>
                </c:pt>
                <c:pt idx="16">
                  <c:v>3/4" B FTA</c:v>
                </c:pt>
                <c:pt idx="17">
                  <c:v>3/4" Coupler</c:v>
                </c:pt>
                <c:pt idx="18">
                  <c:v>3/4" Elbow</c:v>
                </c:pt>
                <c:pt idx="19">
                  <c:v>3/4" 45° Elbow</c:v>
                </c:pt>
                <c:pt idx="20">
                  <c:v>Solvent 40ml</c:v>
                </c:pt>
                <c:pt idx="21">
                  <c:v>1/2" Ferul</c:v>
                </c:pt>
                <c:pt idx="22">
                  <c:v>3/4"×1/2" B Elbow</c:v>
                </c:pt>
                <c:pt idx="23">
                  <c:v>3" Band</c:v>
                </c:pt>
                <c:pt idx="24">
                  <c:v>3" Coupler</c:v>
                </c:pt>
                <c:pt idx="25">
                  <c:v>3" Baser</c:v>
                </c:pt>
                <c:pt idx="26">
                  <c:v>4" Nehali Trap</c:v>
                </c:pt>
                <c:pt idx="27">
                  <c:v>1" Coupler</c:v>
                </c:pt>
                <c:pt idx="28">
                  <c:v>Solvent</c:v>
                </c:pt>
                <c:pt idx="29">
                  <c:v>1" Elbow</c:v>
                </c:pt>
                <c:pt idx="30">
                  <c:v>3/4 " Elbow</c:v>
                </c:pt>
                <c:pt idx="31">
                  <c:v>3" Elbow</c:v>
                </c:pt>
                <c:pt idx="32">
                  <c:v>4" Tee</c:v>
                </c:pt>
                <c:pt idx="33">
                  <c:v>Solvent PVC</c:v>
                </c:pt>
                <c:pt idx="34">
                  <c:v>3" Jali</c:v>
                </c:pt>
                <c:pt idx="35">
                  <c:v>4" Coupler</c:v>
                </c:pt>
                <c:pt idx="36">
                  <c:v>4" Cut Jali</c:v>
                </c:pt>
                <c:pt idx="37">
                  <c:v>3/4"×1/2" B FTA</c:v>
                </c:pt>
                <c:pt idx="38">
                  <c:v>Solvent 10ml</c:v>
                </c:pt>
                <c:pt idx="39">
                  <c:v>Teplon</c:v>
                </c:pt>
                <c:pt idx="40">
                  <c:v>Jointer</c:v>
                </c:pt>
                <c:pt idx="41">
                  <c:v>Clip</c:v>
                </c:pt>
                <c:pt idx="42">
                  <c:v>Aree Blade</c:v>
                </c:pt>
              </c:strCache>
            </c:strRef>
          </c:cat>
          <c:val>
            <c:numRef>
              <c:f>'Pivot_Analysis - Week - 5'!$C$29:$C$72</c:f>
              <c:numCache>
                <c:formatCode>[$₹-439]#,##0.00</c:formatCode>
                <c:ptCount val="43"/>
                <c:pt idx="0">
                  <c:v>860</c:v>
                </c:pt>
                <c:pt idx="1">
                  <c:v>355</c:v>
                </c:pt>
                <c:pt idx="2">
                  <c:v>350</c:v>
                </c:pt>
                <c:pt idx="3">
                  <c:v>328</c:v>
                </c:pt>
                <c:pt idx="4">
                  <c:v>280</c:v>
                </c:pt>
                <c:pt idx="5">
                  <c:v>262</c:v>
                </c:pt>
                <c:pt idx="6">
                  <c:v>196</c:v>
                </c:pt>
                <c:pt idx="7">
                  <c:v>174</c:v>
                </c:pt>
                <c:pt idx="8">
                  <c:v>170</c:v>
                </c:pt>
                <c:pt idx="9">
                  <c:v>168</c:v>
                </c:pt>
                <c:pt idx="10">
                  <c:v>160</c:v>
                </c:pt>
                <c:pt idx="11">
                  <c:v>156</c:v>
                </c:pt>
                <c:pt idx="12">
                  <c:v>128</c:v>
                </c:pt>
                <c:pt idx="13">
                  <c:v>120</c:v>
                </c:pt>
                <c:pt idx="14">
                  <c:v>108</c:v>
                </c:pt>
                <c:pt idx="15">
                  <c:v>86</c:v>
                </c:pt>
                <c:pt idx="16">
                  <c:v>83</c:v>
                </c:pt>
                <c:pt idx="17">
                  <c:v>79.900000000000006</c:v>
                </c:pt>
                <c:pt idx="18">
                  <c:v>59</c:v>
                </c:pt>
                <c:pt idx="19">
                  <c:v>57.599999999999994</c:v>
                </c:pt>
                <c:pt idx="20">
                  <c:v>54</c:v>
                </c:pt>
                <c:pt idx="21">
                  <c:v>51</c:v>
                </c:pt>
                <c:pt idx="22">
                  <c:v>51</c:v>
                </c:pt>
                <c:pt idx="23">
                  <c:v>48</c:v>
                </c:pt>
                <c:pt idx="24">
                  <c:v>48</c:v>
                </c:pt>
                <c:pt idx="25">
                  <c:v>45</c:v>
                </c:pt>
                <c:pt idx="26">
                  <c:v>44</c:v>
                </c:pt>
                <c:pt idx="27">
                  <c:v>41.25</c:v>
                </c:pt>
                <c:pt idx="28">
                  <c:v>36</c:v>
                </c:pt>
                <c:pt idx="29">
                  <c:v>36</c:v>
                </c:pt>
                <c:pt idx="30">
                  <c:v>30</c:v>
                </c:pt>
                <c:pt idx="31">
                  <c:v>27</c:v>
                </c:pt>
                <c:pt idx="32">
                  <c:v>26</c:v>
                </c:pt>
                <c:pt idx="33">
                  <c:v>24</c:v>
                </c:pt>
                <c:pt idx="34">
                  <c:v>22</c:v>
                </c:pt>
                <c:pt idx="35">
                  <c:v>22</c:v>
                </c:pt>
                <c:pt idx="36">
                  <c:v>16</c:v>
                </c:pt>
                <c:pt idx="37">
                  <c:v>12</c:v>
                </c:pt>
                <c:pt idx="38">
                  <c:v>12</c:v>
                </c:pt>
                <c:pt idx="39">
                  <c:v>7.2000000000000064</c:v>
                </c:pt>
                <c:pt idx="40">
                  <c:v>6</c:v>
                </c:pt>
                <c:pt idx="41">
                  <c:v>6</c:v>
                </c:pt>
                <c:pt idx="42">
                  <c:v>5.4000000000000021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1-464F-A127-57467089A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561928"/>
        <c:axId val="76571656"/>
      </c:barChart>
      <c:catAx>
        <c:axId val="76561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71656"/>
        <c:crosses val="autoZero"/>
        <c:auto val="1"/>
        <c:lblAlgn val="ctr"/>
        <c:lblOffset val="100"/>
        <c:noMultiLvlLbl val="0"/>
      </c:catAx>
      <c:valAx>
        <c:axId val="7657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1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- 5'!$C$82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- 5'!$B$83:$B$126</c:f>
              <c:strCache>
                <c:ptCount val="43"/>
                <c:pt idx="0">
                  <c:v>3/4" Pipe</c:v>
                </c:pt>
                <c:pt idx="1">
                  <c:v>3/4" Coupler</c:v>
                </c:pt>
                <c:pt idx="2">
                  <c:v>3/4" Elbow</c:v>
                </c:pt>
                <c:pt idx="3">
                  <c:v>1" Coupler</c:v>
                </c:pt>
                <c:pt idx="4">
                  <c:v>3" Baser</c:v>
                </c:pt>
                <c:pt idx="5">
                  <c:v>3/4 " Elbow</c:v>
                </c:pt>
                <c:pt idx="6">
                  <c:v>1" Pipe</c:v>
                </c:pt>
                <c:pt idx="7">
                  <c:v>3/4" 45° Elbow</c:v>
                </c:pt>
                <c:pt idx="8">
                  <c:v>3" Pipe</c:v>
                </c:pt>
                <c:pt idx="9">
                  <c:v>Teplon</c:v>
                </c:pt>
                <c:pt idx="10">
                  <c:v>4" Band</c:v>
                </c:pt>
                <c:pt idx="11">
                  <c:v>Aree Blade</c:v>
                </c:pt>
                <c:pt idx="12">
                  <c:v>1" Elbow</c:v>
                </c:pt>
                <c:pt idx="13">
                  <c:v>3/4" Baipass</c:v>
                </c:pt>
                <c:pt idx="14">
                  <c:v>Clip</c:v>
                </c:pt>
                <c:pt idx="15">
                  <c:v>3" Band</c:v>
                </c:pt>
                <c:pt idx="16">
                  <c:v>1" Baipass</c:v>
                </c:pt>
                <c:pt idx="17">
                  <c:v>3" Coupler</c:v>
                </c:pt>
                <c:pt idx="18">
                  <c:v>Solvent 40ml</c:v>
                </c:pt>
                <c:pt idx="19">
                  <c:v>Solvent 100ml</c:v>
                </c:pt>
                <c:pt idx="20">
                  <c:v>4" Pipe</c:v>
                </c:pt>
                <c:pt idx="21">
                  <c:v>Solvent 50ml</c:v>
                </c:pt>
                <c:pt idx="22">
                  <c:v>3" Elbow</c:v>
                </c:pt>
                <c:pt idx="23">
                  <c:v>3/4" B FTA</c:v>
                </c:pt>
                <c:pt idx="24">
                  <c:v>3/4"×1/2" B Elbow</c:v>
                </c:pt>
                <c:pt idx="25">
                  <c:v>Jointer</c:v>
                </c:pt>
                <c:pt idx="26">
                  <c:v>Solvent</c:v>
                </c:pt>
                <c:pt idx="27">
                  <c:v>4" Coupler</c:v>
                </c:pt>
                <c:pt idx="28">
                  <c:v>3/4" Ferul</c:v>
                </c:pt>
                <c:pt idx="29">
                  <c:v>Solvent 10ml</c:v>
                </c:pt>
                <c:pt idx="30">
                  <c:v>3" Jali</c:v>
                </c:pt>
                <c:pt idx="31">
                  <c:v>Solvent PVC</c:v>
                </c:pt>
                <c:pt idx="32">
                  <c:v>3/4"×1/2" B FTA</c:v>
                </c:pt>
                <c:pt idx="33">
                  <c:v>1/2" Loose Pipe</c:v>
                </c:pt>
                <c:pt idx="34">
                  <c:v>1/2" Ferul</c:v>
                </c:pt>
                <c:pt idx="35">
                  <c:v>4" Nehali Trap</c:v>
                </c:pt>
                <c:pt idx="36">
                  <c:v>4" Tee</c:v>
                </c:pt>
                <c:pt idx="37">
                  <c:v>Motor 1/2HP</c:v>
                </c:pt>
                <c:pt idx="38">
                  <c:v>2 in 1 Diverter</c:v>
                </c:pt>
                <c:pt idx="39">
                  <c:v>Sit (Hindware)</c:v>
                </c:pt>
                <c:pt idx="40">
                  <c:v>Loose Pipe</c:v>
                </c:pt>
                <c:pt idx="41">
                  <c:v>4" Cut Jali</c:v>
                </c:pt>
                <c:pt idx="42">
                  <c:v>Motor</c:v>
                </c:pt>
              </c:strCache>
            </c:strRef>
          </c:cat>
          <c:val>
            <c:numRef>
              <c:f>'Pivot_Analysis - Week - 5'!$C$83:$C$126</c:f>
              <c:numCache>
                <c:formatCode>General</c:formatCode>
                <c:ptCount val="43"/>
                <c:pt idx="0">
                  <c:v>58</c:v>
                </c:pt>
                <c:pt idx="1">
                  <c:v>43</c:v>
                </c:pt>
                <c:pt idx="2">
                  <c:v>26</c:v>
                </c:pt>
                <c:pt idx="3">
                  <c:v>15</c:v>
                </c:pt>
                <c:pt idx="4">
                  <c:v>15</c:v>
                </c:pt>
                <c:pt idx="5">
                  <c:v>12</c:v>
                </c:pt>
                <c:pt idx="6">
                  <c:v>12</c:v>
                </c:pt>
                <c:pt idx="7">
                  <c:v>10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A-449F-8F77-F30F62930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01800"/>
        <c:axId val="119203848"/>
      </c:barChart>
      <c:catAx>
        <c:axId val="119201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03848"/>
        <c:crosses val="autoZero"/>
        <c:auto val="1"/>
        <c:lblAlgn val="ctr"/>
        <c:lblOffset val="100"/>
        <c:noMultiLvlLbl val="0"/>
      </c:catAx>
      <c:valAx>
        <c:axId val="11920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01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( 03 Aug - 09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7"/>
              <c:pt idx="0">
                <c:v>03/08/2026</c:v>
              </c:pt>
              <c:pt idx="1">
                <c:v>04/08/2026</c:v>
              </c:pt>
              <c:pt idx="2">
                <c:v>05/08/2026</c:v>
              </c:pt>
              <c:pt idx="3">
                <c:v>06/08/2026</c:v>
              </c:pt>
              <c:pt idx="4">
                <c:v>07/08/2026</c:v>
              </c:pt>
              <c:pt idx="5">
                <c:v>08/08/2026</c:v>
              </c:pt>
              <c:pt idx="6">
                <c:v>09/08/2026</c:v>
              </c:pt>
            </c:strLit>
          </c:cat>
          <c:val>
            <c:numLit>
              <c:formatCode>General</c:formatCode>
              <c:ptCount val="7"/>
              <c:pt idx="0">
                <c:v>562.20000000000005</c:v>
              </c:pt>
              <c:pt idx="1">
                <c:v>683</c:v>
              </c:pt>
              <c:pt idx="2">
                <c:v>272</c:v>
              </c:pt>
              <c:pt idx="3">
                <c:v>558</c:v>
              </c:pt>
              <c:pt idx="4">
                <c:v>601.5</c:v>
              </c:pt>
              <c:pt idx="5">
                <c:v>399.4</c:v>
              </c:pt>
              <c:pt idx="6">
                <c:v>564.29999999999995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FA6-4103-9490-325B30D10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2233736"/>
        <c:axId val="931352584"/>
      </c:lineChart>
      <c:catAx>
        <c:axId val="932233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352584"/>
        <c:crosses val="autoZero"/>
        <c:auto val="1"/>
        <c:lblAlgn val="ctr"/>
        <c:lblOffset val="100"/>
        <c:noMultiLvlLbl val="0"/>
      </c:catAx>
      <c:valAx>
        <c:axId val="931352584"/>
        <c:scaling>
          <c:orientation val="minMax"/>
          <c:max val="10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33736"/>
        <c:crosses val="autoZero"/>
        <c:crossBetween val="between"/>
        <c:majorUnit val="200"/>
        <c:min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5"/>
              <c:pt idx="0">
                <c:v>Handpump</c:v>
              </c:pt>
              <c:pt idx="1">
                <c:v>Tank Cover</c:v>
              </c:pt>
              <c:pt idx="2">
                <c:v>Stand Besin</c:v>
              </c:pt>
              <c:pt idx="3">
                <c:v>1" Pipe</c:v>
              </c:pt>
              <c:pt idx="4">
                <c:v>Flusher</c:v>
              </c:pt>
              <c:pt idx="5">
                <c:v>4" Pipe</c:v>
              </c:pt>
              <c:pt idx="6">
                <c:v>Tap</c:v>
              </c:pt>
              <c:pt idx="7">
                <c:v>Loose Pipe</c:v>
              </c:pt>
              <c:pt idx="8">
                <c:v>1" Elbow</c:v>
              </c:pt>
              <c:pt idx="9">
                <c:v>1/2"x12" Nepul</c:v>
              </c:pt>
              <c:pt idx="10">
                <c:v>Connection Pipe</c:v>
              </c:pt>
              <c:pt idx="11">
                <c:v>4" Band</c:v>
              </c:pt>
              <c:pt idx="12">
                <c:v>Solvent</c:v>
              </c:pt>
              <c:pt idx="13">
                <c:v>Long Tap</c:v>
              </c:pt>
              <c:pt idx="14">
                <c:v>4" Coupler</c:v>
              </c:pt>
              <c:pt idx="15">
                <c:v>Shower</c:v>
              </c:pt>
              <c:pt idx="16">
                <c:v>3/4" Checkvalve</c:v>
              </c:pt>
              <c:pt idx="17">
                <c:v>3" Pipe</c:v>
              </c:pt>
              <c:pt idx="18">
                <c:v>Solvent 10ml</c:v>
              </c:pt>
              <c:pt idx="19">
                <c:v>3" Coupler</c:v>
              </c:pt>
              <c:pt idx="20">
                <c:v>1/2" Pipe</c:v>
              </c:pt>
              <c:pt idx="21">
                <c:v>1" Ball Valve</c:v>
              </c:pt>
              <c:pt idx="22">
                <c:v>3" Band</c:v>
              </c:pt>
              <c:pt idx="23">
                <c:v>PVC Hook</c:v>
              </c:pt>
              <c:pt idx="24">
                <c:v>Angle Cock</c:v>
              </c:pt>
              <c:pt idx="25">
                <c:v>1½"x3/4" Rodiser</c:v>
              </c:pt>
              <c:pt idx="26">
                <c:v>5" Syphan</c:v>
              </c:pt>
              <c:pt idx="27">
                <c:v>Waste Pipe</c:v>
              </c:pt>
              <c:pt idx="28">
                <c:v>1½"x6" Nepul</c:v>
              </c:pt>
              <c:pt idx="29">
                <c:v>3" Tee</c:v>
              </c:pt>
              <c:pt idx="30">
                <c:v>3" End Cap</c:v>
              </c:pt>
              <c:pt idx="31">
                <c:v>Fan Hook</c:v>
              </c:pt>
              <c:pt idx="32">
                <c:v>4" Tee</c:v>
              </c:pt>
              <c:pt idx="33">
                <c:v>Solvent PVC</c:v>
              </c:pt>
              <c:pt idx="34">
                <c:v>White Cement</c:v>
              </c:pt>
              <c:pt idx="35">
                <c:v>1" Coupler</c:v>
              </c:pt>
              <c:pt idx="36">
                <c:v>3" Hook</c:v>
              </c:pt>
              <c:pt idx="37">
                <c:v>1"x4" Nepul</c:v>
              </c:pt>
              <c:pt idx="38">
                <c:v>4" Blade</c:v>
              </c:pt>
              <c:pt idx="39">
                <c:v>3/4"x3" Nepul</c:v>
              </c:pt>
              <c:pt idx="40">
                <c:v>M-Seal</c:v>
              </c:pt>
              <c:pt idx="41">
                <c:v>Plumber Masala</c:v>
              </c:pt>
              <c:pt idx="42">
                <c:v>3" Bocket</c:v>
              </c:pt>
              <c:pt idx="43">
                <c:v>Suta</c:v>
              </c:pt>
              <c:pt idx="44">
                <c:v>Aree Blade</c:v>
              </c:pt>
            </c:strLit>
          </c:cat>
          <c:val>
            <c:numLit>
              <c:formatCode>General</c:formatCode>
              <c:ptCount val="45"/>
              <c:pt idx="0">
                <c:v>470</c:v>
              </c:pt>
              <c:pt idx="1">
                <c:v>380</c:v>
              </c:pt>
              <c:pt idx="2">
                <c:v>256</c:v>
              </c:pt>
              <c:pt idx="3">
                <c:v>238</c:v>
              </c:pt>
              <c:pt idx="4">
                <c:v>220</c:v>
              </c:pt>
              <c:pt idx="5">
                <c:v>162</c:v>
              </c:pt>
              <c:pt idx="6">
                <c:v>126</c:v>
              </c:pt>
              <c:pt idx="7">
                <c:v>120</c:v>
              </c:pt>
              <c:pt idx="8">
                <c:v>97.5</c:v>
              </c:pt>
              <c:pt idx="9">
                <c:v>96</c:v>
              </c:pt>
              <c:pt idx="10">
                <c:v>94</c:v>
              </c:pt>
              <c:pt idx="11">
                <c:v>84</c:v>
              </c:pt>
              <c:pt idx="12">
                <c:v>76</c:v>
              </c:pt>
              <c:pt idx="13">
                <c:v>74</c:v>
              </c:pt>
              <c:pt idx="14">
                <c:v>72</c:v>
              </c:pt>
              <c:pt idx="15">
                <c:v>70</c:v>
              </c:pt>
              <c:pt idx="16">
                <c:v>70</c:v>
              </c:pt>
              <c:pt idx="17">
                <c:v>66</c:v>
              </c:pt>
              <c:pt idx="18">
                <c:v>64</c:v>
              </c:pt>
              <c:pt idx="19">
                <c:v>55</c:v>
              </c:pt>
              <c:pt idx="20">
                <c:v>54</c:v>
              </c:pt>
              <c:pt idx="21">
                <c:v>52</c:v>
              </c:pt>
              <c:pt idx="22">
                <c:v>48</c:v>
              </c:pt>
              <c:pt idx="23">
                <c:v>48</c:v>
              </c:pt>
              <c:pt idx="24">
                <c:v>48</c:v>
              </c:pt>
              <c:pt idx="25">
                <c:v>43</c:v>
              </c:pt>
              <c:pt idx="26">
                <c:v>40</c:v>
              </c:pt>
              <c:pt idx="27">
                <c:v>38</c:v>
              </c:pt>
              <c:pt idx="28">
                <c:v>36</c:v>
              </c:pt>
              <c:pt idx="29">
                <c:v>36</c:v>
              </c:pt>
              <c:pt idx="30">
                <c:v>32</c:v>
              </c:pt>
              <c:pt idx="31">
                <c:v>31.5</c:v>
              </c:pt>
              <c:pt idx="32">
                <c:v>30</c:v>
              </c:pt>
              <c:pt idx="33">
                <c:v>28</c:v>
              </c:pt>
              <c:pt idx="34">
                <c:v>26</c:v>
              </c:pt>
              <c:pt idx="35">
                <c:v>24</c:v>
              </c:pt>
              <c:pt idx="36">
                <c:v>21</c:v>
              </c:pt>
              <c:pt idx="37">
                <c:v>20</c:v>
              </c:pt>
              <c:pt idx="38">
                <c:v>18.900000000000006</c:v>
              </c:pt>
              <c:pt idx="39">
                <c:v>18</c:v>
              </c:pt>
              <c:pt idx="40">
                <c:v>14</c:v>
              </c:pt>
              <c:pt idx="41">
                <c:v>13.5</c:v>
              </c:pt>
              <c:pt idx="42">
                <c:v>12</c:v>
              </c:pt>
              <c:pt idx="43">
                <c:v>10.8</c:v>
              </c:pt>
              <c:pt idx="44">
                <c:v>7.2000000000000028</c:v>
              </c:pt>
            </c:numLit>
          </c:val>
          <c:extLst>
            <c:ext xmlns:c16="http://schemas.microsoft.com/office/drawing/2014/chart" uri="{C3380CC4-5D6E-409C-BE32-E72D297353CC}">
              <c16:uniqueId val="{00000000-C83F-4341-9F86-94887507B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8874247"/>
        <c:axId val="2068876295"/>
      </c:barChart>
      <c:catAx>
        <c:axId val="20688742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876295"/>
        <c:crosses val="autoZero"/>
        <c:auto val="1"/>
        <c:lblAlgn val="ctr"/>
        <c:lblOffset val="100"/>
        <c:noMultiLvlLbl val="0"/>
      </c:catAx>
      <c:valAx>
        <c:axId val="2068876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874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5"/>
              <c:pt idx="0">
                <c:v>4" Blade</c:v>
              </c:pt>
              <c:pt idx="1">
                <c:v>PVC Hook</c:v>
              </c:pt>
              <c:pt idx="2">
                <c:v>1" Elbow</c:v>
              </c:pt>
              <c:pt idx="3">
                <c:v>1" Pipe</c:v>
              </c:pt>
              <c:pt idx="4">
                <c:v>Tap</c:v>
              </c:pt>
              <c:pt idx="5">
                <c:v>Solvent 10ml</c:v>
              </c:pt>
              <c:pt idx="6">
                <c:v>Aree Blade</c:v>
              </c:pt>
              <c:pt idx="7">
                <c:v>1" Coupler</c:v>
              </c:pt>
              <c:pt idx="8">
                <c:v>M-Seal</c:v>
              </c:pt>
              <c:pt idx="9">
                <c:v>3" Band</c:v>
              </c:pt>
              <c:pt idx="10">
                <c:v>4" Coupler</c:v>
              </c:pt>
              <c:pt idx="11">
                <c:v>3" Hook</c:v>
              </c:pt>
              <c:pt idx="12">
                <c:v>4" Pipe</c:v>
              </c:pt>
              <c:pt idx="13">
                <c:v>3" Coupler</c:v>
              </c:pt>
              <c:pt idx="14">
                <c:v>4" Band</c:v>
              </c:pt>
              <c:pt idx="15">
                <c:v>Solvent PVC</c:v>
              </c:pt>
              <c:pt idx="16">
                <c:v>1/2"x12" Nepul</c:v>
              </c:pt>
              <c:pt idx="17">
                <c:v>3" Bocket</c:v>
              </c:pt>
              <c:pt idx="18">
                <c:v>Suta</c:v>
              </c:pt>
              <c:pt idx="19">
                <c:v>Tank Cover</c:v>
              </c:pt>
              <c:pt idx="20">
                <c:v>Plumber Masala</c:v>
              </c:pt>
              <c:pt idx="21">
                <c:v>1/2" Pipe</c:v>
              </c:pt>
              <c:pt idx="22">
                <c:v>Fan Hook</c:v>
              </c:pt>
              <c:pt idx="23">
                <c:v>Handpump</c:v>
              </c:pt>
              <c:pt idx="24">
                <c:v>Stand Besin</c:v>
              </c:pt>
              <c:pt idx="25">
                <c:v>3/4"x3" Nepul</c:v>
              </c:pt>
              <c:pt idx="26">
                <c:v>Waste Pipe</c:v>
              </c:pt>
              <c:pt idx="27">
                <c:v>3" End Cap</c:v>
              </c:pt>
              <c:pt idx="28">
                <c:v>Connection Pipe</c:v>
              </c:pt>
              <c:pt idx="29">
                <c:v>Angle Cock</c:v>
              </c:pt>
              <c:pt idx="30">
                <c:v>1" Ball Valve</c:v>
              </c:pt>
              <c:pt idx="31">
                <c:v>White Cement</c:v>
              </c:pt>
              <c:pt idx="32">
                <c:v>3" Tee</c:v>
              </c:pt>
              <c:pt idx="33">
                <c:v>Solvent</c:v>
              </c:pt>
              <c:pt idx="34">
                <c:v>3" Pipe</c:v>
              </c:pt>
              <c:pt idx="35">
                <c:v>Long Tap</c:v>
              </c:pt>
              <c:pt idx="36">
                <c:v>4" Tee</c:v>
              </c:pt>
              <c:pt idx="37">
                <c:v>Flusher</c:v>
              </c:pt>
              <c:pt idx="38">
                <c:v>1½"x6" Nepul</c:v>
              </c:pt>
              <c:pt idx="39">
                <c:v>1½"x3/4" Rodiser</c:v>
              </c:pt>
              <c:pt idx="40">
                <c:v>1"x4" Nepul</c:v>
              </c:pt>
              <c:pt idx="41">
                <c:v>Shower</c:v>
              </c:pt>
              <c:pt idx="42">
                <c:v>Loose Pipe</c:v>
              </c:pt>
              <c:pt idx="43">
                <c:v>5" Syphan</c:v>
              </c:pt>
              <c:pt idx="44">
                <c:v>3/4" Checkvalve</c:v>
              </c:pt>
            </c:strLit>
          </c:cat>
          <c:val>
            <c:numLit>
              <c:formatCode>General</c:formatCode>
              <c:ptCount val="45"/>
              <c:pt idx="0">
                <c:v>21</c:v>
              </c:pt>
              <c:pt idx="1">
                <c:v>20</c:v>
              </c:pt>
              <c:pt idx="2">
                <c:v>15</c:v>
              </c:pt>
              <c:pt idx="3">
                <c:v>14</c:v>
              </c:pt>
              <c:pt idx="4">
                <c:v>14</c:v>
              </c:pt>
              <c:pt idx="5">
                <c:v>10</c:v>
              </c:pt>
              <c:pt idx="6">
                <c:v>8</c:v>
              </c:pt>
              <c:pt idx="7">
                <c:v>8</c:v>
              </c:pt>
              <c:pt idx="8">
                <c:v>7</c:v>
              </c:pt>
              <c:pt idx="9">
                <c:v>6</c:v>
              </c:pt>
              <c:pt idx="10">
                <c:v>6</c:v>
              </c:pt>
              <c:pt idx="11">
                <c:v>6</c:v>
              </c:pt>
              <c:pt idx="12">
                <c:v>6</c:v>
              </c:pt>
              <c:pt idx="13">
                <c:v>5</c:v>
              </c:pt>
              <c:pt idx="14">
                <c:v>4</c:v>
              </c:pt>
              <c:pt idx="15">
                <c:v>4</c:v>
              </c:pt>
              <c:pt idx="16">
                <c:v>4</c:v>
              </c:pt>
              <c:pt idx="17">
                <c:v>4</c:v>
              </c:pt>
              <c:pt idx="18">
                <c:v>4</c:v>
              </c:pt>
              <c:pt idx="19">
                <c:v>4</c:v>
              </c:pt>
              <c:pt idx="20">
                <c:v>3</c:v>
              </c:pt>
              <c:pt idx="21">
                <c:v>3</c:v>
              </c:pt>
              <c:pt idx="22">
                <c:v>3</c:v>
              </c:pt>
              <c:pt idx="23">
                <c:v>3</c:v>
              </c:pt>
              <c:pt idx="24">
                <c:v>2</c:v>
              </c:pt>
              <c:pt idx="25">
                <c:v>2</c:v>
              </c:pt>
              <c:pt idx="26">
                <c:v>2</c:v>
              </c:pt>
              <c:pt idx="27">
                <c:v>2</c:v>
              </c:pt>
              <c:pt idx="28">
                <c:v>2</c:v>
              </c:pt>
              <c:pt idx="29">
                <c:v>2</c:v>
              </c:pt>
              <c:pt idx="30">
                <c:v>2</c:v>
              </c:pt>
              <c:pt idx="31">
                <c:v>2</c:v>
              </c:pt>
              <c:pt idx="32">
                <c:v>2</c:v>
              </c:pt>
              <c:pt idx="33">
                <c:v>2</c:v>
              </c:pt>
              <c:pt idx="34">
                <c:v>2</c:v>
              </c:pt>
              <c:pt idx="35">
                <c:v>2</c:v>
              </c:pt>
              <c:pt idx="36">
                <c:v>2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D202-4156-BA9B-30D9F6AC4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614215"/>
        <c:axId val="1403616263"/>
      </c:barChart>
      <c:catAx>
        <c:axId val="14036142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16263"/>
        <c:crosses val="autoZero"/>
        <c:auto val="1"/>
        <c:lblAlgn val="ctr"/>
        <c:lblOffset val="100"/>
        <c:noMultiLvlLbl val="0"/>
      </c:catAx>
      <c:valAx>
        <c:axId val="1403616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14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 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( 10 Aug - 16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 2'!$F$4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 2'!$E$5:$E$12</c:f>
              <c:strCache>
                <c:ptCount val="7"/>
                <c:pt idx="0">
                  <c:v>10/08/2026</c:v>
                </c:pt>
                <c:pt idx="1">
                  <c:v>11/08/2026</c:v>
                </c:pt>
                <c:pt idx="2">
                  <c:v>12/08/2026</c:v>
                </c:pt>
                <c:pt idx="3">
                  <c:v>13/08/2026</c:v>
                </c:pt>
                <c:pt idx="4">
                  <c:v>14/08/2026</c:v>
                </c:pt>
                <c:pt idx="5">
                  <c:v>15/08/2026</c:v>
                </c:pt>
                <c:pt idx="6">
                  <c:v>16/08/2026</c:v>
                </c:pt>
              </c:strCache>
            </c:strRef>
          </c:cat>
          <c:val>
            <c:numRef>
              <c:f>'Pivot_Analysis - Week -  2'!$F$5:$F$12</c:f>
              <c:numCache>
                <c:formatCode>[$₹-439]#,##0.00</c:formatCode>
                <c:ptCount val="7"/>
                <c:pt idx="0">
                  <c:v>326.2</c:v>
                </c:pt>
                <c:pt idx="1">
                  <c:v>327.8</c:v>
                </c:pt>
                <c:pt idx="2">
                  <c:v>607.79999999999995</c:v>
                </c:pt>
                <c:pt idx="3">
                  <c:v>421.00000000000006</c:v>
                </c:pt>
                <c:pt idx="4">
                  <c:v>450.3</c:v>
                </c:pt>
                <c:pt idx="5">
                  <c:v>457.5</c:v>
                </c:pt>
                <c:pt idx="6">
                  <c:v>492.8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D8-4E95-B176-B61E4FAFF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752583"/>
        <c:axId val="250328583"/>
      </c:lineChart>
      <c:catAx>
        <c:axId val="249752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28583"/>
        <c:crosses val="autoZero"/>
        <c:auto val="1"/>
        <c:lblAlgn val="ctr"/>
        <c:lblOffset val="100"/>
        <c:noMultiLvlLbl val="0"/>
      </c:catAx>
      <c:valAx>
        <c:axId val="250328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52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 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 2'!$O$4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 2'!$N$5:$N$55</c:f>
              <c:strCache>
                <c:ptCount val="50"/>
                <c:pt idx="0">
                  <c:v>3/4" Cancilled</c:v>
                </c:pt>
                <c:pt idx="1">
                  <c:v>4" Pipe</c:v>
                </c:pt>
                <c:pt idx="2">
                  <c:v>1" Pipe</c:v>
                </c:pt>
                <c:pt idx="3">
                  <c:v>1" Loose Pipe</c:v>
                </c:pt>
                <c:pt idx="4">
                  <c:v>3/4" Pipe</c:v>
                </c:pt>
                <c:pt idx="5">
                  <c:v>1" Ball Valve</c:v>
                </c:pt>
                <c:pt idx="6">
                  <c:v>Seat</c:v>
                </c:pt>
                <c:pt idx="7">
                  <c:v>Fan Hook</c:v>
                </c:pt>
                <c:pt idx="8">
                  <c:v>Tap</c:v>
                </c:pt>
                <c:pt idx="9">
                  <c:v>Steel Angle Cock</c:v>
                </c:pt>
                <c:pt idx="10">
                  <c:v>3/4" PVC Hook</c:v>
                </c:pt>
                <c:pt idx="11">
                  <c:v>Solvent 100ml</c:v>
                </c:pt>
                <c:pt idx="12">
                  <c:v>Steel Tap</c:v>
                </c:pt>
                <c:pt idx="13">
                  <c:v>Tank Cover</c:v>
                </c:pt>
                <c:pt idx="14">
                  <c:v>5" Blade</c:v>
                </c:pt>
                <c:pt idx="15">
                  <c:v>1/2" Check Valve</c:v>
                </c:pt>
                <c:pt idx="16">
                  <c:v>Hand Shower</c:v>
                </c:pt>
                <c:pt idx="17">
                  <c:v>1/2" Connection Pipe</c:v>
                </c:pt>
                <c:pt idx="18">
                  <c:v>3" Band</c:v>
                </c:pt>
                <c:pt idx="19">
                  <c:v>4" Blade</c:v>
                </c:pt>
                <c:pt idx="20">
                  <c:v>1" Union</c:v>
                </c:pt>
                <c:pt idx="21">
                  <c:v>1/2" Plug</c:v>
                </c:pt>
                <c:pt idx="22">
                  <c:v>3" Pipe</c:v>
                </c:pt>
                <c:pt idx="23">
                  <c:v>3/4" Elbow</c:v>
                </c:pt>
                <c:pt idx="24">
                  <c:v>5"x4" Syphan</c:v>
                </c:pt>
                <c:pt idx="25">
                  <c:v>3" Gold Plenjer</c:v>
                </c:pt>
                <c:pt idx="26">
                  <c:v>1" Elbow</c:v>
                </c:pt>
                <c:pt idx="27">
                  <c:v>Solvent 50ml</c:v>
                </c:pt>
                <c:pt idx="28">
                  <c:v>Pump Handle</c:v>
                </c:pt>
                <c:pt idx="29">
                  <c:v>3" Jali</c:v>
                </c:pt>
                <c:pt idx="30">
                  <c:v>3" Y Tee</c:v>
                </c:pt>
                <c:pt idx="31">
                  <c:v>4" Band</c:v>
                </c:pt>
                <c:pt idx="32">
                  <c:v>3/4"x1/2" B Elbow</c:v>
                </c:pt>
                <c:pt idx="33">
                  <c:v>Sypahn Baser</c:v>
                </c:pt>
                <c:pt idx="34">
                  <c:v>4" Tee</c:v>
                </c:pt>
                <c:pt idx="35">
                  <c:v>3" Half Band</c:v>
                </c:pt>
                <c:pt idx="36">
                  <c:v>1/2" B MTA</c:v>
                </c:pt>
                <c:pt idx="37">
                  <c:v>1" Clip</c:v>
                </c:pt>
                <c:pt idx="38">
                  <c:v>3/4" Union</c:v>
                </c:pt>
                <c:pt idx="39">
                  <c:v>PVC Solvent</c:v>
                </c:pt>
                <c:pt idx="40">
                  <c:v>3/4" Ball Valve</c:v>
                </c:pt>
                <c:pt idx="41">
                  <c:v>1" MTA</c:v>
                </c:pt>
                <c:pt idx="42">
                  <c:v>1" Tee</c:v>
                </c:pt>
                <c:pt idx="43">
                  <c:v>Nut Bolt</c:v>
                </c:pt>
                <c:pt idx="44">
                  <c:v>Jointer</c:v>
                </c:pt>
                <c:pt idx="45">
                  <c:v>Teplon</c:v>
                </c:pt>
                <c:pt idx="46">
                  <c:v>1"x3/4" Buss</c:v>
                </c:pt>
                <c:pt idx="47">
                  <c:v>3" Bocket</c:v>
                </c:pt>
                <c:pt idx="48">
                  <c:v>1" Coupler</c:v>
                </c:pt>
                <c:pt idx="49">
                  <c:v>Solvent 20ml</c:v>
                </c:pt>
              </c:strCache>
            </c:strRef>
          </c:cat>
          <c:val>
            <c:numRef>
              <c:f>'Pivot_Analysis - Week -  2'!$O$5:$O$55</c:f>
              <c:numCache>
                <c:formatCode>[$₹-439]#,##0.00</c:formatCode>
                <c:ptCount val="50"/>
                <c:pt idx="0">
                  <c:v>270</c:v>
                </c:pt>
                <c:pt idx="1">
                  <c:v>200</c:v>
                </c:pt>
                <c:pt idx="2">
                  <c:v>165</c:v>
                </c:pt>
                <c:pt idx="3">
                  <c:v>160</c:v>
                </c:pt>
                <c:pt idx="4">
                  <c:v>158.00000000000006</c:v>
                </c:pt>
                <c:pt idx="5">
                  <c:v>149</c:v>
                </c:pt>
                <c:pt idx="6">
                  <c:v>120</c:v>
                </c:pt>
                <c:pt idx="7">
                  <c:v>94.5</c:v>
                </c:pt>
                <c:pt idx="8">
                  <c:v>90</c:v>
                </c:pt>
                <c:pt idx="9">
                  <c:v>82</c:v>
                </c:pt>
                <c:pt idx="10">
                  <c:v>81.599999999999994</c:v>
                </c:pt>
                <c:pt idx="11">
                  <c:v>80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66</c:v>
                </c:pt>
                <c:pt idx="19">
                  <c:v>64.800000000000011</c:v>
                </c:pt>
                <c:pt idx="20">
                  <c:v>62</c:v>
                </c:pt>
                <c:pt idx="21">
                  <c:v>60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42</c:v>
                </c:pt>
                <c:pt idx="26">
                  <c:v>39</c:v>
                </c:pt>
                <c:pt idx="27">
                  <c:v>39</c:v>
                </c:pt>
                <c:pt idx="28">
                  <c:v>36</c:v>
                </c:pt>
                <c:pt idx="29">
                  <c:v>36</c:v>
                </c:pt>
                <c:pt idx="30">
                  <c:v>34</c:v>
                </c:pt>
                <c:pt idx="31">
                  <c:v>33</c:v>
                </c:pt>
                <c:pt idx="32">
                  <c:v>32</c:v>
                </c:pt>
                <c:pt idx="33">
                  <c:v>28</c:v>
                </c:pt>
                <c:pt idx="34">
                  <c:v>26</c:v>
                </c:pt>
                <c:pt idx="35">
                  <c:v>25</c:v>
                </c:pt>
                <c:pt idx="36">
                  <c:v>23</c:v>
                </c:pt>
                <c:pt idx="37">
                  <c:v>20</c:v>
                </c:pt>
                <c:pt idx="38">
                  <c:v>20</c:v>
                </c:pt>
                <c:pt idx="39">
                  <c:v>19</c:v>
                </c:pt>
                <c:pt idx="40">
                  <c:v>18</c:v>
                </c:pt>
                <c:pt idx="41">
                  <c:v>17</c:v>
                </c:pt>
                <c:pt idx="42">
                  <c:v>16.200000000000003</c:v>
                </c:pt>
                <c:pt idx="43">
                  <c:v>16.200000000000003</c:v>
                </c:pt>
                <c:pt idx="44">
                  <c:v>15.599999999999998</c:v>
                </c:pt>
                <c:pt idx="45">
                  <c:v>14.000000000000007</c:v>
                </c:pt>
                <c:pt idx="46">
                  <c:v>14</c:v>
                </c:pt>
                <c:pt idx="47">
                  <c:v>12.5</c:v>
                </c:pt>
                <c:pt idx="48">
                  <c:v>12</c:v>
                </c:pt>
                <c:pt idx="4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C-4630-B8D7-EB010B766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2945544"/>
        <c:axId val="979490312"/>
      </c:barChart>
      <c:catAx>
        <c:axId val="92294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490312"/>
        <c:crosses val="autoZero"/>
        <c:auto val="1"/>
        <c:lblAlgn val="ctr"/>
        <c:lblOffset val="100"/>
        <c:noMultiLvlLbl val="0"/>
      </c:catAx>
      <c:valAx>
        <c:axId val="979490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945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 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 2'!$Z$4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 2'!$Y$5:$Y$55</c:f>
              <c:strCache>
                <c:ptCount val="50"/>
                <c:pt idx="0">
                  <c:v>3/4" PVC Hook</c:v>
                </c:pt>
                <c:pt idx="1">
                  <c:v>3/4" Elbow</c:v>
                </c:pt>
                <c:pt idx="2">
                  <c:v>1/2" Plug</c:v>
                </c:pt>
                <c:pt idx="3">
                  <c:v>Teplon</c:v>
                </c:pt>
                <c:pt idx="4">
                  <c:v>4" Blade</c:v>
                </c:pt>
                <c:pt idx="5">
                  <c:v>3/4" Pipe</c:v>
                </c:pt>
                <c:pt idx="6">
                  <c:v>1" Pipe</c:v>
                </c:pt>
                <c:pt idx="7">
                  <c:v>Fan Hook</c:v>
                </c:pt>
                <c:pt idx="8">
                  <c:v>4" Pipe</c:v>
                </c:pt>
                <c:pt idx="9">
                  <c:v>3" Band</c:v>
                </c:pt>
                <c:pt idx="10">
                  <c:v>1" Elbow</c:v>
                </c:pt>
                <c:pt idx="11">
                  <c:v>Nut Bolt</c:v>
                </c:pt>
                <c:pt idx="12">
                  <c:v>1" Clip</c:v>
                </c:pt>
                <c:pt idx="13">
                  <c:v>Tap</c:v>
                </c:pt>
                <c:pt idx="14">
                  <c:v>1" Coupler</c:v>
                </c:pt>
                <c:pt idx="15">
                  <c:v>1" Ball Valve</c:v>
                </c:pt>
                <c:pt idx="16">
                  <c:v>3/4"x1/2" B Elbow</c:v>
                </c:pt>
                <c:pt idx="17">
                  <c:v>1" Union</c:v>
                </c:pt>
                <c:pt idx="18">
                  <c:v>4" Band</c:v>
                </c:pt>
                <c:pt idx="19">
                  <c:v>Jointer</c:v>
                </c:pt>
                <c:pt idx="20">
                  <c:v>3/4" Cancilled</c:v>
                </c:pt>
                <c:pt idx="21">
                  <c:v>Steel Tap</c:v>
                </c:pt>
                <c:pt idx="22">
                  <c:v>3" Half Band</c:v>
                </c:pt>
                <c:pt idx="23">
                  <c:v>Solvent 50ml</c:v>
                </c:pt>
                <c:pt idx="24">
                  <c:v>3" Jali</c:v>
                </c:pt>
                <c:pt idx="25">
                  <c:v>1/2" B MTA</c:v>
                </c:pt>
                <c:pt idx="26">
                  <c:v>1" MTA</c:v>
                </c:pt>
                <c:pt idx="27">
                  <c:v>3/4" Union</c:v>
                </c:pt>
                <c:pt idx="28">
                  <c:v>3" Y Tee</c:v>
                </c:pt>
                <c:pt idx="29">
                  <c:v>Steel Angle Cock</c:v>
                </c:pt>
                <c:pt idx="30">
                  <c:v>Solvent 100ml</c:v>
                </c:pt>
                <c:pt idx="31">
                  <c:v>3" Pipe</c:v>
                </c:pt>
                <c:pt idx="32">
                  <c:v>1"x3/4" Buss</c:v>
                </c:pt>
                <c:pt idx="33">
                  <c:v>1" Tee</c:v>
                </c:pt>
                <c:pt idx="34">
                  <c:v>1/2" Connection Pipe</c:v>
                </c:pt>
                <c:pt idx="35">
                  <c:v>5" Blade</c:v>
                </c:pt>
                <c:pt idx="36">
                  <c:v>1" Loose Pipe</c:v>
                </c:pt>
                <c:pt idx="37">
                  <c:v>Tank Cover</c:v>
                </c:pt>
                <c:pt idx="38">
                  <c:v>Hand Shower</c:v>
                </c:pt>
                <c:pt idx="39">
                  <c:v>3" Bocket</c:v>
                </c:pt>
                <c:pt idx="40">
                  <c:v>4" Tee</c:v>
                </c:pt>
                <c:pt idx="41">
                  <c:v>Pump Handle</c:v>
                </c:pt>
                <c:pt idx="42">
                  <c:v>1/2" Check Valve</c:v>
                </c:pt>
                <c:pt idx="43">
                  <c:v>PVC Solvent</c:v>
                </c:pt>
                <c:pt idx="44">
                  <c:v>Sypahn Baser</c:v>
                </c:pt>
                <c:pt idx="45">
                  <c:v>Seat</c:v>
                </c:pt>
                <c:pt idx="46">
                  <c:v>3" Gold Plenjer</c:v>
                </c:pt>
                <c:pt idx="47">
                  <c:v>3/4" Ball Valve</c:v>
                </c:pt>
                <c:pt idx="48">
                  <c:v>Solvent 20ml</c:v>
                </c:pt>
                <c:pt idx="49">
                  <c:v>5"x4" Syphan</c:v>
                </c:pt>
              </c:strCache>
            </c:strRef>
          </c:cat>
          <c:val>
            <c:numRef>
              <c:f>'Pivot_Analysis - Week -  2'!$Z$5:$Z$55</c:f>
              <c:numCache>
                <c:formatCode>General</c:formatCode>
                <c:ptCount val="50"/>
                <c:pt idx="0">
                  <c:v>39</c:v>
                </c:pt>
                <c:pt idx="1">
                  <c:v>23</c:v>
                </c:pt>
                <c:pt idx="2">
                  <c:v>20</c:v>
                </c:pt>
                <c:pt idx="3">
                  <c:v>16</c:v>
                </c:pt>
                <c:pt idx="4">
                  <c:v>12</c:v>
                </c:pt>
                <c:pt idx="5">
                  <c:v>10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E-4691-8DE2-98FD99D9F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382408"/>
        <c:axId val="985384456"/>
      </c:barChart>
      <c:catAx>
        <c:axId val="985382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84456"/>
        <c:crosses val="autoZero"/>
        <c:auto val="1"/>
        <c:lblAlgn val="ctr"/>
        <c:lblOffset val="100"/>
        <c:noMultiLvlLbl val="0"/>
      </c:catAx>
      <c:valAx>
        <c:axId val="98538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82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- 3!PivotTable1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( 17 Aug - 23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- 3'!$C$4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- 3'!$B$5:$B$12</c:f>
              <c:strCache>
                <c:ptCount val="7"/>
                <c:pt idx="0">
                  <c:v>17/08/2026</c:v>
                </c:pt>
                <c:pt idx="1">
                  <c:v>18/08/2026</c:v>
                </c:pt>
                <c:pt idx="2">
                  <c:v>19/08/2026</c:v>
                </c:pt>
                <c:pt idx="3">
                  <c:v>20/08/2026</c:v>
                </c:pt>
                <c:pt idx="4">
                  <c:v>21/08/2026</c:v>
                </c:pt>
                <c:pt idx="5">
                  <c:v>22/08/2026</c:v>
                </c:pt>
                <c:pt idx="6">
                  <c:v>23/08/2026</c:v>
                </c:pt>
              </c:strCache>
            </c:strRef>
          </c:cat>
          <c:val>
            <c:numRef>
              <c:f>'Pivot_Analysis - Week - 3'!$C$5:$C$12</c:f>
              <c:numCache>
                <c:formatCode>[$₹-439]#,##0.00</c:formatCode>
                <c:ptCount val="7"/>
                <c:pt idx="0">
                  <c:v>552.5</c:v>
                </c:pt>
                <c:pt idx="1">
                  <c:v>494</c:v>
                </c:pt>
                <c:pt idx="2">
                  <c:v>377.5</c:v>
                </c:pt>
                <c:pt idx="3">
                  <c:v>855</c:v>
                </c:pt>
                <c:pt idx="4">
                  <c:v>452.4</c:v>
                </c:pt>
                <c:pt idx="5">
                  <c:v>903</c:v>
                </c:pt>
                <c:pt idx="6">
                  <c:v>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2A-4270-A20C-F5AEB7112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889224"/>
        <c:axId val="818889224"/>
      </c:lineChart>
      <c:catAx>
        <c:axId val="85088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89224"/>
        <c:crosses val="autoZero"/>
        <c:auto val="1"/>
        <c:lblAlgn val="ctr"/>
        <c:lblOffset val="100"/>
        <c:noMultiLvlLbl val="0"/>
      </c:catAx>
      <c:valAx>
        <c:axId val="818889224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89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- 3'!$C$24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- 3'!$B$25:$B$69</c:f>
              <c:strCache>
                <c:ptCount val="44"/>
                <c:pt idx="0">
                  <c:v>1/2" Cancilled</c:v>
                </c:pt>
                <c:pt idx="1">
                  <c:v>6" Pipe</c:v>
                </c:pt>
                <c:pt idx="2">
                  <c:v>Stand Besin</c:v>
                </c:pt>
                <c:pt idx="3">
                  <c:v>Tap</c:v>
                </c:pt>
                <c:pt idx="4">
                  <c:v>3/4" Pipe</c:v>
                </c:pt>
                <c:pt idx="5">
                  <c:v>Brass Shower</c:v>
                </c:pt>
                <c:pt idx="6">
                  <c:v>4" Pipe</c:v>
                </c:pt>
                <c:pt idx="7">
                  <c:v>Motor</c:v>
                </c:pt>
                <c:pt idx="8">
                  <c:v>6" Band</c:v>
                </c:pt>
                <c:pt idx="9">
                  <c:v>3" Pipe</c:v>
                </c:pt>
                <c:pt idx="10">
                  <c:v>4" Band</c:v>
                </c:pt>
                <c:pt idx="11">
                  <c:v>Seat</c:v>
                </c:pt>
                <c:pt idx="12">
                  <c:v>6"x5" Syphan</c:v>
                </c:pt>
                <c:pt idx="13">
                  <c:v>6" Hook</c:v>
                </c:pt>
                <c:pt idx="14">
                  <c:v>Flusher</c:v>
                </c:pt>
                <c:pt idx="15">
                  <c:v>Pillar Cock</c:v>
                </c:pt>
                <c:pt idx="16">
                  <c:v>1/2" B MTA</c:v>
                </c:pt>
                <c:pt idx="17">
                  <c:v>Solvent 100ml</c:v>
                </c:pt>
                <c:pt idx="18">
                  <c:v>4" Hook</c:v>
                </c:pt>
                <c:pt idx="19">
                  <c:v>1/2"x12" Nepul</c:v>
                </c:pt>
                <c:pt idx="20">
                  <c:v>4" Half Band</c:v>
                </c:pt>
                <c:pt idx="21">
                  <c:v>Sink Cock</c:v>
                </c:pt>
                <c:pt idx="22">
                  <c:v>3" Jali</c:v>
                </c:pt>
                <c:pt idx="23">
                  <c:v>4" Y Tee</c:v>
                </c:pt>
                <c:pt idx="24">
                  <c:v>5"x4" Syphan</c:v>
                </c:pt>
                <c:pt idx="25">
                  <c:v>3/4" Coupler</c:v>
                </c:pt>
                <c:pt idx="26">
                  <c:v>Teplon</c:v>
                </c:pt>
                <c:pt idx="27">
                  <c:v>1/2" Ferul</c:v>
                </c:pt>
                <c:pt idx="28">
                  <c:v>4" Coupler</c:v>
                </c:pt>
                <c:pt idx="29">
                  <c:v>3" Hook</c:v>
                </c:pt>
                <c:pt idx="30">
                  <c:v>3/4"x1/2" B Elbow</c:v>
                </c:pt>
                <c:pt idx="31">
                  <c:v>1/2" Connection Pipe</c:v>
                </c:pt>
                <c:pt idx="32">
                  <c:v>Sypahn Baser</c:v>
                </c:pt>
                <c:pt idx="33">
                  <c:v>5" Blade</c:v>
                </c:pt>
                <c:pt idx="34">
                  <c:v>3/4" Elbow</c:v>
                </c:pt>
                <c:pt idx="35">
                  <c:v>Faster Nut</c:v>
                </c:pt>
                <c:pt idx="36">
                  <c:v>Waste Coupling</c:v>
                </c:pt>
                <c:pt idx="37">
                  <c:v>Angle Cock</c:v>
                </c:pt>
                <c:pt idx="38">
                  <c:v>Waste Pipe</c:v>
                </c:pt>
                <c:pt idx="39">
                  <c:v>4"x3" Coupler</c:v>
                </c:pt>
                <c:pt idx="40">
                  <c:v>Solvent PVC</c:v>
                </c:pt>
                <c:pt idx="41">
                  <c:v>3/4"x1/2" B FTA</c:v>
                </c:pt>
                <c:pt idx="42">
                  <c:v>White Cement</c:v>
                </c:pt>
                <c:pt idx="43">
                  <c:v>4" Blade</c:v>
                </c:pt>
              </c:strCache>
            </c:strRef>
          </c:cat>
          <c:val>
            <c:numRef>
              <c:f>'Pivot_Analysis - Week - 3'!$C$25:$C$69</c:f>
              <c:numCache>
                <c:formatCode>[$₹-439]#,##0.00</c:formatCode>
                <c:ptCount val="44"/>
                <c:pt idx="0">
                  <c:v>270</c:v>
                </c:pt>
                <c:pt idx="1">
                  <c:v>255</c:v>
                </c:pt>
                <c:pt idx="2">
                  <c:v>250</c:v>
                </c:pt>
                <c:pt idx="3">
                  <c:v>220</c:v>
                </c:pt>
                <c:pt idx="4">
                  <c:v>220</c:v>
                </c:pt>
                <c:pt idx="5">
                  <c:v>210</c:v>
                </c:pt>
                <c:pt idx="6">
                  <c:v>208</c:v>
                </c:pt>
                <c:pt idx="7">
                  <c:v>200</c:v>
                </c:pt>
                <c:pt idx="8">
                  <c:v>170</c:v>
                </c:pt>
                <c:pt idx="9">
                  <c:v>168</c:v>
                </c:pt>
                <c:pt idx="10">
                  <c:v>168</c:v>
                </c:pt>
                <c:pt idx="11">
                  <c:v>150</c:v>
                </c:pt>
                <c:pt idx="12">
                  <c:v>130</c:v>
                </c:pt>
                <c:pt idx="13">
                  <c:v>130</c:v>
                </c:pt>
                <c:pt idx="14">
                  <c:v>128</c:v>
                </c:pt>
                <c:pt idx="15">
                  <c:v>107</c:v>
                </c:pt>
                <c:pt idx="16">
                  <c:v>93</c:v>
                </c:pt>
                <c:pt idx="17">
                  <c:v>85</c:v>
                </c:pt>
                <c:pt idx="18">
                  <c:v>84</c:v>
                </c:pt>
                <c:pt idx="19">
                  <c:v>72</c:v>
                </c:pt>
                <c:pt idx="20">
                  <c:v>63</c:v>
                </c:pt>
                <c:pt idx="21">
                  <c:v>60</c:v>
                </c:pt>
                <c:pt idx="22">
                  <c:v>48</c:v>
                </c:pt>
                <c:pt idx="23">
                  <c:v>48</c:v>
                </c:pt>
                <c:pt idx="24">
                  <c:v>45</c:v>
                </c:pt>
                <c:pt idx="25">
                  <c:v>42</c:v>
                </c:pt>
                <c:pt idx="26">
                  <c:v>40</c:v>
                </c:pt>
                <c:pt idx="27">
                  <c:v>38</c:v>
                </c:pt>
                <c:pt idx="28">
                  <c:v>36</c:v>
                </c:pt>
                <c:pt idx="29">
                  <c:v>35</c:v>
                </c:pt>
                <c:pt idx="30">
                  <c:v>33</c:v>
                </c:pt>
                <c:pt idx="31">
                  <c:v>30</c:v>
                </c:pt>
                <c:pt idx="32">
                  <c:v>28</c:v>
                </c:pt>
                <c:pt idx="33">
                  <c:v>28</c:v>
                </c:pt>
                <c:pt idx="34">
                  <c:v>25</c:v>
                </c:pt>
                <c:pt idx="35">
                  <c:v>24</c:v>
                </c:pt>
                <c:pt idx="36">
                  <c:v>22</c:v>
                </c:pt>
                <c:pt idx="37">
                  <c:v>18</c:v>
                </c:pt>
                <c:pt idx="38">
                  <c:v>18</c:v>
                </c:pt>
                <c:pt idx="39">
                  <c:v>15</c:v>
                </c:pt>
                <c:pt idx="40">
                  <c:v>14</c:v>
                </c:pt>
                <c:pt idx="41">
                  <c:v>9</c:v>
                </c:pt>
                <c:pt idx="42">
                  <c:v>7</c:v>
                </c:pt>
                <c:pt idx="43">
                  <c:v>5.4000000000000021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D-42A1-89AF-564261711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823752"/>
        <c:axId val="625825800"/>
      </c:barChart>
      <c:catAx>
        <c:axId val="62582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25800"/>
        <c:crosses val="autoZero"/>
        <c:auto val="1"/>
        <c:lblAlgn val="ctr"/>
        <c:lblOffset val="100"/>
        <c:noMultiLvlLbl val="0"/>
      </c:catAx>
      <c:valAx>
        <c:axId val="62582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2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- 3'!$C$80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- 3'!$B$81:$B$125</c:f>
              <c:strCache>
                <c:ptCount val="44"/>
                <c:pt idx="0">
                  <c:v>Teplon</c:v>
                </c:pt>
                <c:pt idx="1">
                  <c:v>4" Hook</c:v>
                </c:pt>
                <c:pt idx="2">
                  <c:v>3/4" Coupler</c:v>
                </c:pt>
                <c:pt idx="3">
                  <c:v>3/4" Pipe</c:v>
                </c:pt>
                <c:pt idx="4">
                  <c:v>6" Hook</c:v>
                </c:pt>
                <c:pt idx="5">
                  <c:v>3" Hook</c:v>
                </c:pt>
                <c:pt idx="6">
                  <c:v>Tap</c:v>
                </c:pt>
                <c:pt idx="7">
                  <c:v>3/4" Elbow</c:v>
                </c:pt>
                <c:pt idx="8">
                  <c:v>4" Band</c:v>
                </c:pt>
                <c:pt idx="9">
                  <c:v>4" Pipe</c:v>
                </c:pt>
                <c:pt idx="10">
                  <c:v>3" Pipe</c:v>
                </c:pt>
                <c:pt idx="11">
                  <c:v>4" Blade</c:v>
                </c:pt>
                <c:pt idx="12">
                  <c:v>1/2" B MTA</c:v>
                </c:pt>
                <c:pt idx="13">
                  <c:v>6" Band</c:v>
                </c:pt>
                <c:pt idx="14">
                  <c:v>3" Jali</c:v>
                </c:pt>
                <c:pt idx="15">
                  <c:v>6" Pipe</c:v>
                </c:pt>
                <c:pt idx="16">
                  <c:v>Solvent 100ml</c:v>
                </c:pt>
                <c:pt idx="17">
                  <c:v>4" Coupler</c:v>
                </c:pt>
                <c:pt idx="18">
                  <c:v>4" Half Band</c:v>
                </c:pt>
                <c:pt idx="19">
                  <c:v>4" Y Tee</c:v>
                </c:pt>
                <c:pt idx="20">
                  <c:v>1/2" Cancilled</c:v>
                </c:pt>
                <c:pt idx="21">
                  <c:v>Solvent PVC</c:v>
                </c:pt>
                <c:pt idx="22">
                  <c:v>1/2"x12" Nepul</c:v>
                </c:pt>
                <c:pt idx="23">
                  <c:v>Pillar Cock</c:v>
                </c:pt>
                <c:pt idx="24">
                  <c:v>3/4"x1/2" B Elbow</c:v>
                </c:pt>
                <c:pt idx="25">
                  <c:v>5"x4" Syphan</c:v>
                </c:pt>
                <c:pt idx="26">
                  <c:v>1/2" Ferul</c:v>
                </c:pt>
                <c:pt idx="27">
                  <c:v>Sink Cock</c:v>
                </c:pt>
                <c:pt idx="28">
                  <c:v>Sypahn Baser</c:v>
                </c:pt>
                <c:pt idx="29">
                  <c:v>4"x3" Coupler</c:v>
                </c:pt>
                <c:pt idx="30">
                  <c:v>3/4"x1/2" B FTA</c:v>
                </c:pt>
                <c:pt idx="31">
                  <c:v>Seat</c:v>
                </c:pt>
                <c:pt idx="32">
                  <c:v>White Cement</c:v>
                </c:pt>
                <c:pt idx="33">
                  <c:v>1/2" Connection Pipe</c:v>
                </c:pt>
                <c:pt idx="34">
                  <c:v>Faster Nut</c:v>
                </c:pt>
                <c:pt idx="35">
                  <c:v>Stand Besin</c:v>
                </c:pt>
                <c:pt idx="36">
                  <c:v>Flusher</c:v>
                </c:pt>
                <c:pt idx="37">
                  <c:v>Motor</c:v>
                </c:pt>
                <c:pt idx="38">
                  <c:v>6"x5" Syphan</c:v>
                </c:pt>
                <c:pt idx="39">
                  <c:v>Waste Coupling</c:v>
                </c:pt>
                <c:pt idx="40">
                  <c:v>Waste Pipe</c:v>
                </c:pt>
                <c:pt idx="41">
                  <c:v>Brass Shower</c:v>
                </c:pt>
                <c:pt idx="42">
                  <c:v>Angle Cock</c:v>
                </c:pt>
                <c:pt idx="43">
                  <c:v>5" Blade</c:v>
                </c:pt>
              </c:strCache>
            </c:strRef>
          </c:cat>
          <c:val>
            <c:numRef>
              <c:f>'Pivot_Analysis - Week - 3'!$C$81:$C$125</c:f>
              <c:numCache>
                <c:formatCode>General</c:formatCode>
                <c:ptCount val="44"/>
                <c:pt idx="0">
                  <c:v>20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8</c:v>
                </c:pt>
                <c:pt idx="9">
                  <c:v>8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2-4F57-A74E-9298056E1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547464"/>
        <c:axId val="814549512"/>
      </c:barChart>
      <c:catAx>
        <c:axId val="814547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49512"/>
        <c:crosses val="autoZero"/>
        <c:auto val="1"/>
        <c:lblAlgn val="ctr"/>
        <c:lblOffset val="100"/>
        <c:noMultiLvlLbl val="0"/>
      </c:catAx>
      <c:valAx>
        <c:axId val="81454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47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- 4!PivotTable1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( 24 Aug to 30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- 4'!$C$4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- 4'!$B$5:$B$12</c:f>
              <c:strCache>
                <c:ptCount val="7"/>
                <c:pt idx="0">
                  <c:v>24/08/2026</c:v>
                </c:pt>
                <c:pt idx="1">
                  <c:v>25/08/2026</c:v>
                </c:pt>
                <c:pt idx="2">
                  <c:v>26/08/2026</c:v>
                </c:pt>
                <c:pt idx="3">
                  <c:v>27/08/2026</c:v>
                </c:pt>
                <c:pt idx="4">
                  <c:v>28/08/2026</c:v>
                </c:pt>
                <c:pt idx="5">
                  <c:v>29/08/2026</c:v>
                </c:pt>
                <c:pt idx="6">
                  <c:v>30/08/2026</c:v>
                </c:pt>
              </c:strCache>
            </c:strRef>
          </c:cat>
          <c:val>
            <c:numRef>
              <c:f>'Pivot_Analysis - Week - 4'!$C$5:$C$12</c:f>
              <c:numCache>
                <c:formatCode>[$₹-439]#,##0.00</c:formatCode>
                <c:ptCount val="7"/>
                <c:pt idx="0">
                  <c:v>260.60000000000002</c:v>
                </c:pt>
                <c:pt idx="1">
                  <c:v>795.8</c:v>
                </c:pt>
                <c:pt idx="2">
                  <c:v>957</c:v>
                </c:pt>
                <c:pt idx="3">
                  <c:v>192.5</c:v>
                </c:pt>
                <c:pt idx="4">
                  <c:v>394</c:v>
                </c:pt>
                <c:pt idx="5">
                  <c:v>936.5</c:v>
                </c:pt>
                <c:pt idx="6">
                  <c:v>671.4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C8-4B63-BCF5-07EB4A9B8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604616"/>
        <c:axId val="1121606664"/>
      </c:lineChart>
      <c:catAx>
        <c:axId val="1121604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606664"/>
        <c:crosses val="autoZero"/>
        <c:auto val="1"/>
        <c:lblAlgn val="ctr"/>
        <c:lblOffset val="100"/>
        <c:noMultiLvlLbl val="0"/>
      </c:catAx>
      <c:valAx>
        <c:axId val="112160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604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- 4!PivotTable2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- 4'!$C$25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- 4'!$B$26:$B$77</c:f>
              <c:strCache>
                <c:ptCount val="51"/>
                <c:pt idx="0">
                  <c:v>Motor 1HP</c:v>
                </c:pt>
                <c:pt idx="1">
                  <c:v>3/4" Pipe</c:v>
                </c:pt>
                <c:pt idx="2">
                  <c:v>1" Loose Pipe</c:v>
                </c:pt>
                <c:pt idx="3">
                  <c:v>1" Pipe</c:v>
                </c:pt>
                <c:pt idx="4">
                  <c:v>3" Y Tee</c:v>
                </c:pt>
                <c:pt idx="5">
                  <c:v>Solvent 50ml</c:v>
                </c:pt>
                <c:pt idx="6">
                  <c:v>3/4" Check Valve</c:v>
                </c:pt>
                <c:pt idx="7">
                  <c:v>1"×1/2" B Elbow</c:v>
                </c:pt>
                <c:pt idx="8">
                  <c:v>3" Pipe</c:v>
                </c:pt>
                <c:pt idx="9">
                  <c:v>4" Pipe</c:v>
                </c:pt>
                <c:pt idx="10">
                  <c:v>Wash Besin</c:v>
                </c:pt>
                <c:pt idx="11">
                  <c:v>1" Elbow</c:v>
                </c:pt>
                <c:pt idx="12">
                  <c:v>4" Band</c:v>
                </c:pt>
                <c:pt idx="13">
                  <c:v>1/2" Plug</c:v>
                </c:pt>
                <c:pt idx="14">
                  <c:v>1"×1/2" B Tee</c:v>
                </c:pt>
                <c:pt idx="15">
                  <c:v>GI Hook</c:v>
                </c:pt>
                <c:pt idx="16">
                  <c:v>4" Tee</c:v>
                </c:pt>
                <c:pt idx="17">
                  <c:v>Tap</c:v>
                </c:pt>
                <c:pt idx="18">
                  <c:v>1"×12" Nepul</c:v>
                </c:pt>
                <c:pt idx="19">
                  <c:v>3" Half Band</c:v>
                </c:pt>
                <c:pt idx="20">
                  <c:v>1/2" Ferul</c:v>
                </c:pt>
                <c:pt idx="21">
                  <c:v>3/4" Ferul</c:v>
                </c:pt>
                <c:pt idx="22">
                  <c:v>4" Blade</c:v>
                </c:pt>
                <c:pt idx="23">
                  <c:v>1/2" Check Valve</c:v>
                </c:pt>
                <c:pt idx="24">
                  <c:v>3/4" Elbow</c:v>
                </c:pt>
                <c:pt idx="25">
                  <c:v>3/4"×1/2" B Elbow</c:v>
                </c:pt>
                <c:pt idx="26">
                  <c:v>Wash Besin Tap</c:v>
                </c:pt>
                <c:pt idx="27">
                  <c:v>3/4" Coupler</c:v>
                </c:pt>
                <c:pt idx="28">
                  <c:v>1" Coupler</c:v>
                </c:pt>
                <c:pt idx="29">
                  <c:v>3/4 " Elbow</c:v>
                </c:pt>
                <c:pt idx="30">
                  <c:v>Solvent 40ml</c:v>
                </c:pt>
                <c:pt idx="31">
                  <c:v>3/4" B FTA</c:v>
                </c:pt>
                <c:pt idx="32">
                  <c:v>Loha Brush</c:v>
                </c:pt>
                <c:pt idx="33">
                  <c:v>Clip</c:v>
                </c:pt>
                <c:pt idx="34">
                  <c:v>Waste Couplin</c:v>
                </c:pt>
                <c:pt idx="35">
                  <c:v>1"×3/4" Buss</c:v>
                </c:pt>
                <c:pt idx="36">
                  <c:v>1"×3/4" Tee</c:v>
                </c:pt>
                <c:pt idx="37">
                  <c:v>White Cement</c:v>
                </c:pt>
                <c:pt idx="38">
                  <c:v>1"×3/4" Coupler</c:v>
                </c:pt>
                <c:pt idx="39">
                  <c:v>3" Jali</c:v>
                </c:pt>
                <c:pt idx="40">
                  <c:v>Solvent</c:v>
                </c:pt>
                <c:pt idx="41">
                  <c:v>Waste Pipe</c:v>
                </c:pt>
                <c:pt idx="42">
                  <c:v>Solvent PVC</c:v>
                </c:pt>
                <c:pt idx="43">
                  <c:v>Solvent 10ml</c:v>
                </c:pt>
                <c:pt idx="44">
                  <c:v>3" Coupler</c:v>
                </c:pt>
                <c:pt idx="45">
                  <c:v>Faster Nut</c:v>
                </c:pt>
                <c:pt idx="46">
                  <c:v>1"×3/4" Elbow</c:v>
                </c:pt>
                <c:pt idx="47">
                  <c:v>Jointer</c:v>
                </c:pt>
                <c:pt idx="48">
                  <c:v>Aree Blade</c:v>
                </c:pt>
                <c:pt idx="49">
                  <c:v>M-Seal</c:v>
                </c:pt>
                <c:pt idx="50">
                  <c:v>1" MTA</c:v>
                </c:pt>
              </c:strCache>
            </c:strRef>
          </c:cat>
          <c:val>
            <c:numRef>
              <c:f>'Pivot_Analysis - Week - 4'!$C$26:$C$77</c:f>
              <c:numCache>
                <c:formatCode>[$₹-439]#,##0.00</c:formatCode>
                <c:ptCount val="51"/>
                <c:pt idx="0">
                  <c:v>450</c:v>
                </c:pt>
                <c:pt idx="1">
                  <c:v>377</c:v>
                </c:pt>
                <c:pt idx="2">
                  <c:v>274</c:v>
                </c:pt>
                <c:pt idx="3">
                  <c:v>255</c:v>
                </c:pt>
                <c:pt idx="4">
                  <c:v>200</c:v>
                </c:pt>
                <c:pt idx="5">
                  <c:v>194</c:v>
                </c:pt>
                <c:pt idx="6">
                  <c:v>190</c:v>
                </c:pt>
                <c:pt idx="7">
                  <c:v>186</c:v>
                </c:pt>
                <c:pt idx="8">
                  <c:v>168</c:v>
                </c:pt>
                <c:pt idx="9">
                  <c:v>141</c:v>
                </c:pt>
                <c:pt idx="10">
                  <c:v>138</c:v>
                </c:pt>
                <c:pt idx="11">
                  <c:v>128</c:v>
                </c:pt>
                <c:pt idx="12">
                  <c:v>126</c:v>
                </c:pt>
                <c:pt idx="13">
                  <c:v>110</c:v>
                </c:pt>
                <c:pt idx="14">
                  <c:v>100</c:v>
                </c:pt>
                <c:pt idx="15">
                  <c:v>84.999999999999972</c:v>
                </c:pt>
                <c:pt idx="16">
                  <c:v>78</c:v>
                </c:pt>
                <c:pt idx="17">
                  <c:v>72</c:v>
                </c:pt>
                <c:pt idx="18">
                  <c:v>72</c:v>
                </c:pt>
                <c:pt idx="19">
                  <c:v>72</c:v>
                </c:pt>
                <c:pt idx="20">
                  <c:v>72</c:v>
                </c:pt>
                <c:pt idx="21">
                  <c:v>64</c:v>
                </c:pt>
                <c:pt idx="22">
                  <c:v>60</c:v>
                </c:pt>
                <c:pt idx="23">
                  <c:v>56</c:v>
                </c:pt>
                <c:pt idx="24">
                  <c:v>50</c:v>
                </c:pt>
                <c:pt idx="25">
                  <c:v>45</c:v>
                </c:pt>
                <c:pt idx="26">
                  <c:v>40</c:v>
                </c:pt>
                <c:pt idx="27">
                  <c:v>39.599999999999994</c:v>
                </c:pt>
                <c:pt idx="28">
                  <c:v>37.5</c:v>
                </c:pt>
                <c:pt idx="29">
                  <c:v>30</c:v>
                </c:pt>
                <c:pt idx="30">
                  <c:v>27</c:v>
                </c:pt>
                <c:pt idx="31">
                  <c:v>26</c:v>
                </c:pt>
                <c:pt idx="32">
                  <c:v>26</c:v>
                </c:pt>
                <c:pt idx="33">
                  <c:v>24</c:v>
                </c:pt>
                <c:pt idx="34">
                  <c:v>22</c:v>
                </c:pt>
                <c:pt idx="35">
                  <c:v>16</c:v>
                </c:pt>
                <c:pt idx="36">
                  <c:v>14</c:v>
                </c:pt>
                <c:pt idx="37">
                  <c:v>14</c:v>
                </c:pt>
                <c:pt idx="38">
                  <c:v>14</c:v>
                </c:pt>
                <c:pt idx="39">
                  <c:v>14</c:v>
                </c:pt>
                <c:pt idx="40">
                  <c:v>13</c:v>
                </c:pt>
                <c:pt idx="41">
                  <c:v>13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9</c:v>
                </c:pt>
                <c:pt idx="46">
                  <c:v>8</c:v>
                </c:pt>
                <c:pt idx="47">
                  <c:v>6.7999999999999972</c:v>
                </c:pt>
                <c:pt idx="48">
                  <c:v>6.4000000000000057</c:v>
                </c:pt>
                <c:pt idx="49">
                  <c:v>4.5000000000000018</c:v>
                </c:pt>
                <c:pt idx="5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9-4F83-90A9-EB56373B3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442568"/>
        <c:axId val="29921287"/>
      </c:barChart>
      <c:catAx>
        <c:axId val="126944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21287"/>
        <c:crosses val="autoZero"/>
        <c:auto val="1"/>
        <c:lblAlgn val="ctr"/>
        <c:lblOffset val="100"/>
        <c:noMultiLvlLbl val="0"/>
      </c:catAx>
      <c:valAx>
        <c:axId val="29921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442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- 4!PivotTable4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- 4'!$C$86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- 4'!$B$87:$B$138</c:f>
              <c:strCache>
                <c:ptCount val="51"/>
                <c:pt idx="0">
                  <c:v>GI Hook</c:v>
                </c:pt>
                <c:pt idx="1">
                  <c:v>3/4" Pipe</c:v>
                </c:pt>
                <c:pt idx="2">
                  <c:v>1" Elbow</c:v>
                </c:pt>
                <c:pt idx="3">
                  <c:v>3/4" Coupler</c:v>
                </c:pt>
                <c:pt idx="4">
                  <c:v>1/2" Plug</c:v>
                </c:pt>
                <c:pt idx="5">
                  <c:v>3/4" Elbow</c:v>
                </c:pt>
                <c:pt idx="6">
                  <c:v>1" Coupler</c:v>
                </c:pt>
                <c:pt idx="7">
                  <c:v>1" Pipe</c:v>
                </c:pt>
                <c:pt idx="8">
                  <c:v>3/4 " Elbow</c:v>
                </c:pt>
                <c:pt idx="9">
                  <c:v>Clip</c:v>
                </c:pt>
                <c:pt idx="10">
                  <c:v>Solvent 50ml</c:v>
                </c:pt>
                <c:pt idx="11">
                  <c:v>Aree Blade</c:v>
                </c:pt>
                <c:pt idx="12">
                  <c:v>3" Y Tee</c:v>
                </c:pt>
                <c:pt idx="13">
                  <c:v>3" Half Band</c:v>
                </c:pt>
                <c:pt idx="14">
                  <c:v>3" Pipe</c:v>
                </c:pt>
                <c:pt idx="15">
                  <c:v>1"×1/2" B Elbow</c:v>
                </c:pt>
                <c:pt idx="16">
                  <c:v>4" Band</c:v>
                </c:pt>
                <c:pt idx="17">
                  <c:v>M-Seal</c:v>
                </c:pt>
                <c:pt idx="18">
                  <c:v>Jointer</c:v>
                </c:pt>
                <c:pt idx="19">
                  <c:v>1"×3/4" Buss</c:v>
                </c:pt>
                <c:pt idx="20">
                  <c:v>1" MTA</c:v>
                </c:pt>
                <c:pt idx="21">
                  <c:v>Tap</c:v>
                </c:pt>
                <c:pt idx="22">
                  <c:v>1"×1/2" B Tee</c:v>
                </c:pt>
                <c:pt idx="23">
                  <c:v>3/4"×1/2" B Elbow</c:v>
                </c:pt>
                <c:pt idx="24">
                  <c:v>Solvent 40ml</c:v>
                </c:pt>
                <c:pt idx="25">
                  <c:v>4" Pipe</c:v>
                </c:pt>
                <c:pt idx="26">
                  <c:v>3/4" Check Valve</c:v>
                </c:pt>
                <c:pt idx="27">
                  <c:v>4" Blade</c:v>
                </c:pt>
                <c:pt idx="28">
                  <c:v>4" Tee</c:v>
                </c:pt>
                <c:pt idx="29">
                  <c:v>1/2" Ferul</c:v>
                </c:pt>
                <c:pt idx="30">
                  <c:v>Loha Brush</c:v>
                </c:pt>
                <c:pt idx="31">
                  <c:v>White Cement</c:v>
                </c:pt>
                <c:pt idx="32">
                  <c:v>1"×12" Nepul</c:v>
                </c:pt>
                <c:pt idx="33">
                  <c:v>Solvent 10ml</c:v>
                </c:pt>
                <c:pt idx="34">
                  <c:v>1"×3/4" Coupler</c:v>
                </c:pt>
                <c:pt idx="35">
                  <c:v>1"×3/4" Elbow</c:v>
                </c:pt>
                <c:pt idx="36">
                  <c:v>1/2" Check Valve</c:v>
                </c:pt>
                <c:pt idx="37">
                  <c:v>3" Jali</c:v>
                </c:pt>
                <c:pt idx="38">
                  <c:v>1"×3/4" Tee</c:v>
                </c:pt>
                <c:pt idx="39">
                  <c:v>Wash Besin</c:v>
                </c:pt>
                <c:pt idx="40">
                  <c:v>3/4" B FTA</c:v>
                </c:pt>
                <c:pt idx="41">
                  <c:v>Waste Couplin</c:v>
                </c:pt>
                <c:pt idx="42">
                  <c:v>Solvent</c:v>
                </c:pt>
                <c:pt idx="43">
                  <c:v>Motor 1HP</c:v>
                </c:pt>
                <c:pt idx="44">
                  <c:v>1" Loose Pipe</c:v>
                </c:pt>
                <c:pt idx="45">
                  <c:v>Wash Besin Tap</c:v>
                </c:pt>
                <c:pt idx="46">
                  <c:v>3" Coupler</c:v>
                </c:pt>
                <c:pt idx="47">
                  <c:v>Waste Pipe</c:v>
                </c:pt>
                <c:pt idx="48">
                  <c:v>Faster Nut</c:v>
                </c:pt>
                <c:pt idx="49">
                  <c:v>Solvent PVC</c:v>
                </c:pt>
                <c:pt idx="50">
                  <c:v>3/4" Ferul</c:v>
                </c:pt>
              </c:strCache>
            </c:strRef>
          </c:cat>
          <c:val>
            <c:numRef>
              <c:f>'Pivot_Analysis - Week - 4'!$C$87:$C$138</c:f>
              <c:numCache>
                <c:formatCode>General</c:formatCode>
                <c:ptCount val="51"/>
                <c:pt idx="0">
                  <c:v>50</c:v>
                </c:pt>
                <c:pt idx="1">
                  <c:v>33</c:v>
                </c:pt>
                <c:pt idx="2">
                  <c:v>32</c:v>
                </c:pt>
                <c:pt idx="3">
                  <c:v>26</c:v>
                </c:pt>
                <c:pt idx="4">
                  <c:v>20</c:v>
                </c:pt>
                <c:pt idx="5">
                  <c:v>20</c:v>
                </c:pt>
                <c:pt idx="6">
                  <c:v>15</c:v>
                </c:pt>
                <c:pt idx="7">
                  <c:v>15</c:v>
                </c:pt>
                <c:pt idx="8">
                  <c:v>12</c:v>
                </c:pt>
                <c:pt idx="9">
                  <c:v>12</c:v>
                </c:pt>
                <c:pt idx="10">
                  <c:v>9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A-41D6-AF2B-1CA90468E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361095"/>
        <c:axId val="1055891976"/>
      </c:barChart>
      <c:catAx>
        <c:axId val="1422361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891976"/>
        <c:crosses val="autoZero"/>
        <c:auto val="1"/>
        <c:lblAlgn val="ctr"/>
        <c:lblOffset val="100"/>
        <c:noMultiLvlLbl val="0"/>
      </c:catAx>
      <c:valAx>
        <c:axId val="105589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361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- 5!PivotTable1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( 31 Aug - 06 Sep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- 5'!$C$4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- 5'!$B$5:$B$12</c:f>
              <c:strCache>
                <c:ptCount val="7"/>
                <c:pt idx="0">
                  <c:v>31/08/2026</c:v>
                </c:pt>
                <c:pt idx="1">
                  <c:v>01/09/2026</c:v>
                </c:pt>
                <c:pt idx="2">
                  <c:v>02/09/2026</c:v>
                </c:pt>
                <c:pt idx="3">
                  <c:v>03/09/2026</c:v>
                </c:pt>
                <c:pt idx="4">
                  <c:v>04/09/2026</c:v>
                </c:pt>
                <c:pt idx="5">
                  <c:v>05/09/2026</c:v>
                </c:pt>
                <c:pt idx="6">
                  <c:v>06/09/2026</c:v>
                </c:pt>
              </c:strCache>
            </c:strRef>
          </c:cat>
          <c:val>
            <c:numRef>
              <c:f>'Pivot_Analysis - Week - 5'!$C$5:$C$12</c:f>
              <c:numCache>
                <c:formatCode>[$₹-439]#,##0.00</c:formatCode>
                <c:ptCount val="7"/>
                <c:pt idx="0">
                  <c:v>1064</c:v>
                </c:pt>
                <c:pt idx="1">
                  <c:v>813.4</c:v>
                </c:pt>
                <c:pt idx="2">
                  <c:v>853.6</c:v>
                </c:pt>
                <c:pt idx="3">
                  <c:v>299</c:v>
                </c:pt>
                <c:pt idx="4">
                  <c:v>755.5</c:v>
                </c:pt>
                <c:pt idx="5">
                  <c:v>376.6</c:v>
                </c:pt>
                <c:pt idx="6">
                  <c:v>688.25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30-453A-8D8C-2D3084ABC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48456"/>
        <c:axId val="17481224"/>
      </c:lineChart>
      <c:catAx>
        <c:axId val="17448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1224"/>
        <c:crosses val="autoZero"/>
        <c:auto val="1"/>
        <c:lblAlgn val="ctr"/>
        <c:lblOffset val="100"/>
        <c:noMultiLvlLbl val="0"/>
      </c:catAx>
      <c:valAx>
        <c:axId val="1748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8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- 5!PivotTable2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- 5'!$C$28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- 5'!$B$29:$B$72</c:f>
              <c:strCache>
                <c:ptCount val="43"/>
                <c:pt idx="0">
                  <c:v>3/4" Pipe</c:v>
                </c:pt>
                <c:pt idx="1">
                  <c:v>2 in 1 Diverter</c:v>
                </c:pt>
                <c:pt idx="2">
                  <c:v>Motor 1/2HP</c:v>
                </c:pt>
                <c:pt idx="3">
                  <c:v>Sit (Hindware)</c:v>
                </c:pt>
                <c:pt idx="4">
                  <c:v>Motor</c:v>
                </c:pt>
                <c:pt idx="5">
                  <c:v>3" Pipe</c:v>
                </c:pt>
                <c:pt idx="6">
                  <c:v>4" Pipe</c:v>
                </c:pt>
                <c:pt idx="7">
                  <c:v>1" Baipass</c:v>
                </c:pt>
                <c:pt idx="8">
                  <c:v>1/2" Loose Pipe</c:v>
                </c:pt>
                <c:pt idx="9">
                  <c:v>4" Band</c:v>
                </c:pt>
                <c:pt idx="10">
                  <c:v>Solvent 100ml</c:v>
                </c:pt>
                <c:pt idx="11">
                  <c:v>1" Pipe</c:v>
                </c:pt>
                <c:pt idx="12">
                  <c:v>3/4" Ferul</c:v>
                </c:pt>
                <c:pt idx="13">
                  <c:v>Loose Pipe</c:v>
                </c:pt>
                <c:pt idx="14">
                  <c:v>3/4" Baipass</c:v>
                </c:pt>
                <c:pt idx="15">
                  <c:v>Solvent 50ml</c:v>
                </c:pt>
                <c:pt idx="16">
                  <c:v>3/4" B FTA</c:v>
                </c:pt>
                <c:pt idx="17">
                  <c:v>3/4" Coupler</c:v>
                </c:pt>
                <c:pt idx="18">
                  <c:v>3/4" Elbow</c:v>
                </c:pt>
                <c:pt idx="19">
                  <c:v>3/4" 45° Elbow</c:v>
                </c:pt>
                <c:pt idx="20">
                  <c:v>Solvent 40ml</c:v>
                </c:pt>
                <c:pt idx="21">
                  <c:v>1/2" Ferul</c:v>
                </c:pt>
                <c:pt idx="22">
                  <c:v>3/4"×1/2" B Elbow</c:v>
                </c:pt>
                <c:pt idx="23">
                  <c:v>3" Band</c:v>
                </c:pt>
                <c:pt idx="24">
                  <c:v>3" Coupler</c:v>
                </c:pt>
                <c:pt idx="25">
                  <c:v>3" Baser</c:v>
                </c:pt>
                <c:pt idx="26">
                  <c:v>4" Nehali Trap</c:v>
                </c:pt>
                <c:pt idx="27">
                  <c:v>1" Coupler</c:v>
                </c:pt>
                <c:pt idx="28">
                  <c:v>Solvent</c:v>
                </c:pt>
                <c:pt idx="29">
                  <c:v>1" Elbow</c:v>
                </c:pt>
                <c:pt idx="30">
                  <c:v>3/4 " Elbow</c:v>
                </c:pt>
                <c:pt idx="31">
                  <c:v>3" Elbow</c:v>
                </c:pt>
                <c:pt idx="32">
                  <c:v>4" Tee</c:v>
                </c:pt>
                <c:pt idx="33">
                  <c:v>Solvent PVC</c:v>
                </c:pt>
                <c:pt idx="34">
                  <c:v>3" Jali</c:v>
                </c:pt>
                <c:pt idx="35">
                  <c:v>4" Coupler</c:v>
                </c:pt>
                <c:pt idx="36">
                  <c:v>4" Cut Jali</c:v>
                </c:pt>
                <c:pt idx="37">
                  <c:v>3/4"×1/2" B FTA</c:v>
                </c:pt>
                <c:pt idx="38">
                  <c:v>Solvent 10ml</c:v>
                </c:pt>
                <c:pt idx="39">
                  <c:v>Teplon</c:v>
                </c:pt>
                <c:pt idx="40">
                  <c:v>Jointer</c:v>
                </c:pt>
                <c:pt idx="41">
                  <c:v>Clip</c:v>
                </c:pt>
                <c:pt idx="42">
                  <c:v>Aree Blade</c:v>
                </c:pt>
              </c:strCache>
            </c:strRef>
          </c:cat>
          <c:val>
            <c:numRef>
              <c:f>'Pivot_Analysis - Week - 5'!$C$29:$C$72</c:f>
              <c:numCache>
                <c:formatCode>[$₹-439]#,##0.00</c:formatCode>
                <c:ptCount val="43"/>
                <c:pt idx="0">
                  <c:v>860</c:v>
                </c:pt>
                <c:pt idx="1">
                  <c:v>355</c:v>
                </c:pt>
                <c:pt idx="2">
                  <c:v>350</c:v>
                </c:pt>
                <c:pt idx="3">
                  <c:v>328</c:v>
                </c:pt>
                <c:pt idx="4">
                  <c:v>280</c:v>
                </c:pt>
                <c:pt idx="5">
                  <c:v>262</c:v>
                </c:pt>
                <c:pt idx="6">
                  <c:v>196</c:v>
                </c:pt>
                <c:pt idx="7">
                  <c:v>174</c:v>
                </c:pt>
                <c:pt idx="8">
                  <c:v>170</c:v>
                </c:pt>
                <c:pt idx="9">
                  <c:v>168</c:v>
                </c:pt>
                <c:pt idx="10">
                  <c:v>160</c:v>
                </c:pt>
                <c:pt idx="11">
                  <c:v>156</c:v>
                </c:pt>
                <c:pt idx="12">
                  <c:v>128</c:v>
                </c:pt>
                <c:pt idx="13">
                  <c:v>120</c:v>
                </c:pt>
                <c:pt idx="14">
                  <c:v>108</c:v>
                </c:pt>
                <c:pt idx="15">
                  <c:v>86</c:v>
                </c:pt>
                <c:pt idx="16">
                  <c:v>83</c:v>
                </c:pt>
                <c:pt idx="17">
                  <c:v>79.900000000000006</c:v>
                </c:pt>
                <c:pt idx="18">
                  <c:v>59</c:v>
                </c:pt>
                <c:pt idx="19">
                  <c:v>57.599999999999994</c:v>
                </c:pt>
                <c:pt idx="20">
                  <c:v>54</c:v>
                </c:pt>
                <c:pt idx="21">
                  <c:v>51</c:v>
                </c:pt>
                <c:pt idx="22">
                  <c:v>51</c:v>
                </c:pt>
                <c:pt idx="23">
                  <c:v>48</c:v>
                </c:pt>
                <c:pt idx="24">
                  <c:v>48</c:v>
                </c:pt>
                <c:pt idx="25">
                  <c:v>45</c:v>
                </c:pt>
                <c:pt idx="26">
                  <c:v>44</c:v>
                </c:pt>
                <c:pt idx="27">
                  <c:v>41.25</c:v>
                </c:pt>
                <c:pt idx="28">
                  <c:v>36</c:v>
                </c:pt>
                <c:pt idx="29">
                  <c:v>36</c:v>
                </c:pt>
                <c:pt idx="30">
                  <c:v>30</c:v>
                </c:pt>
                <c:pt idx="31">
                  <c:v>27</c:v>
                </c:pt>
                <c:pt idx="32">
                  <c:v>26</c:v>
                </c:pt>
                <c:pt idx="33">
                  <c:v>24</c:v>
                </c:pt>
                <c:pt idx="34">
                  <c:v>22</c:v>
                </c:pt>
                <c:pt idx="35">
                  <c:v>22</c:v>
                </c:pt>
                <c:pt idx="36">
                  <c:v>16</c:v>
                </c:pt>
                <c:pt idx="37">
                  <c:v>12</c:v>
                </c:pt>
                <c:pt idx="38">
                  <c:v>12</c:v>
                </c:pt>
                <c:pt idx="39">
                  <c:v>7.2000000000000064</c:v>
                </c:pt>
                <c:pt idx="40">
                  <c:v>6</c:v>
                </c:pt>
                <c:pt idx="41">
                  <c:v>6</c:v>
                </c:pt>
                <c:pt idx="42">
                  <c:v>5.4000000000000021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5-40AF-80AA-FD82EF92C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561928"/>
        <c:axId val="76571656"/>
      </c:barChart>
      <c:catAx>
        <c:axId val="76561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71656"/>
        <c:crosses val="autoZero"/>
        <c:auto val="1"/>
        <c:lblAlgn val="ctr"/>
        <c:lblOffset val="100"/>
        <c:noMultiLvlLbl val="0"/>
      </c:catAx>
      <c:valAx>
        <c:axId val="7657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1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- 5!PivotTable3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- 5'!$C$82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- 5'!$B$83:$B$126</c:f>
              <c:strCache>
                <c:ptCount val="43"/>
                <c:pt idx="0">
                  <c:v>3/4" Pipe</c:v>
                </c:pt>
                <c:pt idx="1">
                  <c:v>3/4" Coupler</c:v>
                </c:pt>
                <c:pt idx="2">
                  <c:v>3/4" Elbow</c:v>
                </c:pt>
                <c:pt idx="3">
                  <c:v>1" Coupler</c:v>
                </c:pt>
                <c:pt idx="4">
                  <c:v>3" Baser</c:v>
                </c:pt>
                <c:pt idx="5">
                  <c:v>3/4 " Elbow</c:v>
                </c:pt>
                <c:pt idx="6">
                  <c:v>1" Pipe</c:v>
                </c:pt>
                <c:pt idx="7">
                  <c:v>3/4" 45° Elbow</c:v>
                </c:pt>
                <c:pt idx="8">
                  <c:v>3" Pipe</c:v>
                </c:pt>
                <c:pt idx="9">
                  <c:v>Teplon</c:v>
                </c:pt>
                <c:pt idx="10">
                  <c:v>4" Band</c:v>
                </c:pt>
                <c:pt idx="11">
                  <c:v>Aree Blade</c:v>
                </c:pt>
                <c:pt idx="12">
                  <c:v>1" Elbow</c:v>
                </c:pt>
                <c:pt idx="13">
                  <c:v>3/4" Baipass</c:v>
                </c:pt>
                <c:pt idx="14">
                  <c:v>Clip</c:v>
                </c:pt>
                <c:pt idx="15">
                  <c:v>3" Band</c:v>
                </c:pt>
                <c:pt idx="16">
                  <c:v>1" Baipass</c:v>
                </c:pt>
                <c:pt idx="17">
                  <c:v>3" Coupler</c:v>
                </c:pt>
                <c:pt idx="18">
                  <c:v>Solvent 40ml</c:v>
                </c:pt>
                <c:pt idx="19">
                  <c:v>Solvent 100ml</c:v>
                </c:pt>
                <c:pt idx="20">
                  <c:v>4" Pipe</c:v>
                </c:pt>
                <c:pt idx="21">
                  <c:v>Solvent 50ml</c:v>
                </c:pt>
                <c:pt idx="22">
                  <c:v>3" Elbow</c:v>
                </c:pt>
                <c:pt idx="23">
                  <c:v>3/4" B FTA</c:v>
                </c:pt>
                <c:pt idx="24">
                  <c:v>3/4"×1/2" B Elbow</c:v>
                </c:pt>
                <c:pt idx="25">
                  <c:v>Jointer</c:v>
                </c:pt>
                <c:pt idx="26">
                  <c:v>Solvent</c:v>
                </c:pt>
                <c:pt idx="27">
                  <c:v>4" Coupler</c:v>
                </c:pt>
                <c:pt idx="28">
                  <c:v>3/4" Ferul</c:v>
                </c:pt>
                <c:pt idx="29">
                  <c:v>Solvent 10ml</c:v>
                </c:pt>
                <c:pt idx="30">
                  <c:v>3" Jali</c:v>
                </c:pt>
                <c:pt idx="31">
                  <c:v>Solvent PVC</c:v>
                </c:pt>
                <c:pt idx="32">
                  <c:v>3/4"×1/2" B FTA</c:v>
                </c:pt>
                <c:pt idx="33">
                  <c:v>1/2" Loose Pipe</c:v>
                </c:pt>
                <c:pt idx="34">
                  <c:v>1/2" Ferul</c:v>
                </c:pt>
                <c:pt idx="35">
                  <c:v>4" Nehali Trap</c:v>
                </c:pt>
                <c:pt idx="36">
                  <c:v>4" Tee</c:v>
                </c:pt>
                <c:pt idx="37">
                  <c:v>Motor 1/2HP</c:v>
                </c:pt>
                <c:pt idx="38">
                  <c:v>2 in 1 Diverter</c:v>
                </c:pt>
                <c:pt idx="39">
                  <c:v>Sit (Hindware)</c:v>
                </c:pt>
                <c:pt idx="40">
                  <c:v>Loose Pipe</c:v>
                </c:pt>
                <c:pt idx="41">
                  <c:v>4" Cut Jali</c:v>
                </c:pt>
                <c:pt idx="42">
                  <c:v>Motor</c:v>
                </c:pt>
              </c:strCache>
            </c:strRef>
          </c:cat>
          <c:val>
            <c:numRef>
              <c:f>'Pivot_Analysis - Week - 5'!$C$83:$C$126</c:f>
              <c:numCache>
                <c:formatCode>General</c:formatCode>
                <c:ptCount val="43"/>
                <c:pt idx="0">
                  <c:v>58</c:v>
                </c:pt>
                <c:pt idx="1">
                  <c:v>43</c:v>
                </c:pt>
                <c:pt idx="2">
                  <c:v>26</c:v>
                </c:pt>
                <c:pt idx="3">
                  <c:v>15</c:v>
                </c:pt>
                <c:pt idx="4">
                  <c:v>15</c:v>
                </c:pt>
                <c:pt idx="5">
                  <c:v>12</c:v>
                </c:pt>
                <c:pt idx="6">
                  <c:v>12</c:v>
                </c:pt>
                <c:pt idx="7">
                  <c:v>10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0-44EC-AF6B-C9796AED5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01800"/>
        <c:axId val="119203848"/>
      </c:barChart>
      <c:catAx>
        <c:axId val="119201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03848"/>
        <c:crosses val="autoZero"/>
        <c:auto val="1"/>
        <c:lblAlgn val="ctr"/>
        <c:lblOffset val="100"/>
        <c:noMultiLvlLbl val="0"/>
      </c:catAx>
      <c:valAx>
        <c:axId val="11920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01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- 6!PivotTable1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( 07 Sep to 13 Sep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- 6'!$C$4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- 6'!$B$5:$B$12</c:f>
              <c:strCache>
                <c:ptCount val="7"/>
                <c:pt idx="0">
                  <c:v>07/09/2026</c:v>
                </c:pt>
                <c:pt idx="1">
                  <c:v>08/09/2026</c:v>
                </c:pt>
                <c:pt idx="2">
                  <c:v>09/09/2026</c:v>
                </c:pt>
                <c:pt idx="3">
                  <c:v>10/09/2026</c:v>
                </c:pt>
                <c:pt idx="4">
                  <c:v>11/09/2026</c:v>
                </c:pt>
                <c:pt idx="5">
                  <c:v>12/09/2026</c:v>
                </c:pt>
                <c:pt idx="6">
                  <c:v>13/09/2026</c:v>
                </c:pt>
              </c:strCache>
            </c:strRef>
          </c:cat>
          <c:val>
            <c:numRef>
              <c:f>'Pivot_Analysis - Week - 6'!$C$5:$C$12</c:f>
              <c:numCache>
                <c:formatCode>[$₹-439]#,##0.00</c:formatCode>
                <c:ptCount val="7"/>
                <c:pt idx="0">
                  <c:v>783</c:v>
                </c:pt>
                <c:pt idx="1">
                  <c:v>753.6</c:v>
                </c:pt>
                <c:pt idx="2">
                  <c:v>481.5</c:v>
                </c:pt>
                <c:pt idx="3">
                  <c:v>446</c:v>
                </c:pt>
                <c:pt idx="4">
                  <c:v>526</c:v>
                </c:pt>
                <c:pt idx="5">
                  <c:v>322.5</c:v>
                </c:pt>
                <c:pt idx="6">
                  <c:v>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E-4BCA-A799-7AF096F99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66695"/>
        <c:axId val="12546567"/>
      </c:lineChart>
      <c:catAx>
        <c:axId val="12466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6567"/>
        <c:crosses val="autoZero"/>
        <c:auto val="1"/>
        <c:lblAlgn val="ctr"/>
        <c:lblOffset val="100"/>
        <c:noMultiLvlLbl val="0"/>
      </c:catAx>
      <c:valAx>
        <c:axId val="12546567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6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- 6!PivotTable2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- 6'!$C$24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- 6'!$B$25:$B$68</c:f>
              <c:strCache>
                <c:ptCount val="43"/>
                <c:pt idx="0">
                  <c:v>Aree Blade</c:v>
                </c:pt>
                <c:pt idx="1">
                  <c:v>PVC Hook</c:v>
                </c:pt>
                <c:pt idx="2">
                  <c:v>3/4" Pipe</c:v>
                </c:pt>
                <c:pt idx="3">
                  <c:v>M-Seal</c:v>
                </c:pt>
                <c:pt idx="4">
                  <c:v>Tap</c:v>
                </c:pt>
                <c:pt idx="5">
                  <c:v>4" Pipe</c:v>
                </c:pt>
                <c:pt idx="6">
                  <c:v>1" Pipe</c:v>
                </c:pt>
                <c:pt idx="7">
                  <c:v>Teplon</c:v>
                </c:pt>
                <c:pt idx="8">
                  <c:v>4" Band</c:v>
                </c:pt>
                <c:pt idx="9">
                  <c:v>3" Band</c:v>
                </c:pt>
                <c:pt idx="10">
                  <c:v>4" Elbow</c:v>
                </c:pt>
                <c:pt idx="11">
                  <c:v>4" Coupler</c:v>
                </c:pt>
                <c:pt idx="12">
                  <c:v>1" Coupler</c:v>
                </c:pt>
                <c:pt idx="13">
                  <c:v>3" Coupler</c:v>
                </c:pt>
                <c:pt idx="14">
                  <c:v>Solvent PVC</c:v>
                </c:pt>
                <c:pt idx="15">
                  <c:v>Solvent 10ml</c:v>
                </c:pt>
                <c:pt idx="16">
                  <c:v>4" Tee</c:v>
                </c:pt>
                <c:pt idx="17">
                  <c:v>1" Elbow</c:v>
                </c:pt>
                <c:pt idx="18">
                  <c:v>3" Bocket</c:v>
                </c:pt>
                <c:pt idx="19">
                  <c:v>Toilet Seat</c:v>
                </c:pt>
                <c:pt idx="20">
                  <c:v>Fan Hook</c:v>
                </c:pt>
                <c:pt idx="21">
                  <c:v>Cream</c:v>
                </c:pt>
                <c:pt idx="22">
                  <c:v>3" Pipe</c:v>
                </c:pt>
                <c:pt idx="23">
                  <c:v>4" Half Band</c:v>
                </c:pt>
                <c:pt idx="24">
                  <c:v>Tap (Sink)</c:v>
                </c:pt>
                <c:pt idx="25">
                  <c:v>Solvent 50ml</c:v>
                </c:pt>
                <c:pt idx="26">
                  <c:v>Tank 1000 Ltr</c:v>
                </c:pt>
                <c:pt idx="27">
                  <c:v>Stand Besin</c:v>
                </c:pt>
                <c:pt idx="28">
                  <c:v>Solvent</c:v>
                </c:pt>
                <c:pt idx="29">
                  <c:v>Solvent 100ml</c:v>
                </c:pt>
                <c:pt idx="30">
                  <c:v>3" Tee</c:v>
                </c:pt>
                <c:pt idx="31">
                  <c:v>Connection Pipe</c:v>
                </c:pt>
                <c:pt idx="32">
                  <c:v>4" Y Tee</c:v>
                </c:pt>
                <c:pt idx="33">
                  <c:v>Waste Pipe</c:v>
                </c:pt>
                <c:pt idx="34">
                  <c:v>Angle Cock</c:v>
                </c:pt>
                <c:pt idx="35">
                  <c:v>1" Ball Valve</c:v>
                </c:pt>
                <c:pt idx="36">
                  <c:v>5"×4" Jointer</c:v>
                </c:pt>
                <c:pt idx="37">
                  <c:v>5" Syphan</c:v>
                </c:pt>
                <c:pt idx="38">
                  <c:v>5"x4" Syphan</c:v>
                </c:pt>
                <c:pt idx="39">
                  <c:v>Tank Cover</c:v>
                </c:pt>
                <c:pt idx="40">
                  <c:v>Shower</c:v>
                </c:pt>
                <c:pt idx="41">
                  <c:v>Handpump</c:v>
                </c:pt>
                <c:pt idx="42">
                  <c:v>Loose Pipe</c:v>
                </c:pt>
              </c:strCache>
            </c:strRef>
          </c:cat>
          <c:val>
            <c:numRef>
              <c:f>'Pivot_Analysis - Week - 6'!$C$25:$C$68</c:f>
              <c:numCache>
                <c:formatCode>General</c:formatCode>
                <c:ptCount val="43"/>
                <c:pt idx="0">
                  <c:v>25</c:v>
                </c:pt>
                <c:pt idx="1">
                  <c:v>20</c:v>
                </c:pt>
                <c:pt idx="2">
                  <c:v>20</c:v>
                </c:pt>
                <c:pt idx="3">
                  <c:v>19</c:v>
                </c:pt>
                <c:pt idx="4">
                  <c:v>13</c:v>
                </c:pt>
                <c:pt idx="5">
                  <c:v>13</c:v>
                </c:pt>
                <c:pt idx="6">
                  <c:v>12</c:v>
                </c:pt>
                <c:pt idx="7">
                  <c:v>10</c:v>
                </c:pt>
                <c:pt idx="8">
                  <c:v>8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5-4947-9247-C9C74AEB1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8376712"/>
        <c:axId val="2138378760"/>
      </c:barChart>
      <c:catAx>
        <c:axId val="2138376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378760"/>
        <c:crosses val="autoZero"/>
        <c:auto val="1"/>
        <c:lblAlgn val="ctr"/>
        <c:lblOffset val="100"/>
        <c:noMultiLvlLbl val="0"/>
      </c:catAx>
      <c:valAx>
        <c:axId val="213837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376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- 6!PivotTable3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- 6'!$C$77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- 6'!$B$78:$B$121</c:f>
              <c:strCache>
                <c:ptCount val="43"/>
                <c:pt idx="0">
                  <c:v>4" Pipe</c:v>
                </c:pt>
                <c:pt idx="1">
                  <c:v>Toilet Seat</c:v>
                </c:pt>
                <c:pt idx="2">
                  <c:v>Tank 1000 Ltr</c:v>
                </c:pt>
                <c:pt idx="3">
                  <c:v>Stand Besin</c:v>
                </c:pt>
                <c:pt idx="4">
                  <c:v>3/4" Pipe</c:v>
                </c:pt>
                <c:pt idx="5">
                  <c:v>Loose Pipe</c:v>
                </c:pt>
                <c:pt idx="6">
                  <c:v>Solvent 100ml</c:v>
                </c:pt>
                <c:pt idx="7">
                  <c:v>Tank Cover</c:v>
                </c:pt>
                <c:pt idx="8">
                  <c:v>Handpump</c:v>
                </c:pt>
                <c:pt idx="9">
                  <c:v>1" Pipe</c:v>
                </c:pt>
                <c:pt idx="10">
                  <c:v>4" Elbow</c:v>
                </c:pt>
                <c:pt idx="11">
                  <c:v>Tap</c:v>
                </c:pt>
                <c:pt idx="12">
                  <c:v>4" Tee</c:v>
                </c:pt>
                <c:pt idx="13">
                  <c:v>Shower</c:v>
                </c:pt>
                <c:pt idx="14">
                  <c:v>Tap (Sink)</c:v>
                </c:pt>
                <c:pt idx="15">
                  <c:v>4" Band</c:v>
                </c:pt>
                <c:pt idx="16">
                  <c:v>4" Coupler</c:v>
                </c:pt>
                <c:pt idx="17">
                  <c:v>Cream</c:v>
                </c:pt>
                <c:pt idx="18">
                  <c:v>3" Band</c:v>
                </c:pt>
                <c:pt idx="19">
                  <c:v>1" Ball Valve</c:v>
                </c:pt>
                <c:pt idx="20">
                  <c:v>4" Y Tee</c:v>
                </c:pt>
                <c:pt idx="21">
                  <c:v>3" Coupler</c:v>
                </c:pt>
                <c:pt idx="22">
                  <c:v>4" Half Band</c:v>
                </c:pt>
                <c:pt idx="23">
                  <c:v>Connection Pipe</c:v>
                </c:pt>
                <c:pt idx="24">
                  <c:v>Solvent</c:v>
                </c:pt>
                <c:pt idx="25">
                  <c:v>5" Syphan</c:v>
                </c:pt>
                <c:pt idx="26">
                  <c:v>Teplon</c:v>
                </c:pt>
                <c:pt idx="27">
                  <c:v>3" Pipe</c:v>
                </c:pt>
                <c:pt idx="28">
                  <c:v>5"x4" Syphan</c:v>
                </c:pt>
                <c:pt idx="29">
                  <c:v>Waste Pipe</c:v>
                </c:pt>
                <c:pt idx="30">
                  <c:v>Solvent 10ml</c:v>
                </c:pt>
                <c:pt idx="31">
                  <c:v>Angle Cock</c:v>
                </c:pt>
                <c:pt idx="32">
                  <c:v>3" Tee</c:v>
                </c:pt>
                <c:pt idx="33">
                  <c:v>Fan Hook</c:v>
                </c:pt>
                <c:pt idx="34">
                  <c:v>5"×4" Jointer</c:v>
                </c:pt>
                <c:pt idx="35">
                  <c:v>Solvent PVC</c:v>
                </c:pt>
                <c:pt idx="36">
                  <c:v>Solvent 50ml</c:v>
                </c:pt>
                <c:pt idx="37">
                  <c:v>1" Coupler</c:v>
                </c:pt>
                <c:pt idx="38">
                  <c:v>3" Bocket</c:v>
                </c:pt>
                <c:pt idx="39">
                  <c:v>Aree Blade</c:v>
                </c:pt>
                <c:pt idx="40">
                  <c:v>PVC Hook</c:v>
                </c:pt>
                <c:pt idx="41">
                  <c:v>M-Seal</c:v>
                </c:pt>
                <c:pt idx="42">
                  <c:v>1" Elbow</c:v>
                </c:pt>
              </c:strCache>
            </c:strRef>
          </c:cat>
          <c:val>
            <c:numRef>
              <c:f>'Pivot_Analysis - Week - 6'!$C$78:$C$121</c:f>
              <c:numCache>
                <c:formatCode>[$₹-439]#,##0.00</c:formatCode>
                <c:ptCount val="43"/>
                <c:pt idx="0">
                  <c:v>468</c:v>
                </c:pt>
                <c:pt idx="1">
                  <c:v>460</c:v>
                </c:pt>
                <c:pt idx="2">
                  <c:v>400</c:v>
                </c:pt>
                <c:pt idx="3">
                  <c:v>260</c:v>
                </c:pt>
                <c:pt idx="4">
                  <c:v>260</c:v>
                </c:pt>
                <c:pt idx="5">
                  <c:v>140</c:v>
                </c:pt>
                <c:pt idx="6">
                  <c:v>136</c:v>
                </c:pt>
                <c:pt idx="7">
                  <c:v>130</c:v>
                </c:pt>
                <c:pt idx="8">
                  <c:v>120</c:v>
                </c:pt>
                <c:pt idx="9">
                  <c:v>120</c:v>
                </c:pt>
                <c:pt idx="10">
                  <c:v>114</c:v>
                </c:pt>
                <c:pt idx="11">
                  <c:v>104</c:v>
                </c:pt>
                <c:pt idx="12">
                  <c:v>80</c:v>
                </c:pt>
                <c:pt idx="13">
                  <c:v>70</c:v>
                </c:pt>
                <c:pt idx="14">
                  <c:v>60</c:v>
                </c:pt>
                <c:pt idx="15">
                  <c:v>56</c:v>
                </c:pt>
                <c:pt idx="16">
                  <c:v>54</c:v>
                </c:pt>
                <c:pt idx="17">
                  <c:v>54</c:v>
                </c:pt>
                <c:pt idx="18">
                  <c:v>54</c:v>
                </c:pt>
                <c:pt idx="19">
                  <c:v>52</c:v>
                </c:pt>
                <c:pt idx="20">
                  <c:v>50</c:v>
                </c:pt>
                <c:pt idx="21">
                  <c:v>45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35</c:v>
                </c:pt>
                <c:pt idx="27">
                  <c:v>34</c:v>
                </c:pt>
                <c:pt idx="28">
                  <c:v>30</c:v>
                </c:pt>
                <c:pt idx="29">
                  <c:v>30</c:v>
                </c:pt>
                <c:pt idx="30">
                  <c:v>28</c:v>
                </c:pt>
                <c:pt idx="31">
                  <c:v>26</c:v>
                </c:pt>
                <c:pt idx="32">
                  <c:v>24</c:v>
                </c:pt>
                <c:pt idx="33">
                  <c:v>24</c:v>
                </c:pt>
                <c:pt idx="34">
                  <c:v>21</c:v>
                </c:pt>
                <c:pt idx="35">
                  <c:v>20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16.100000000000009</c:v>
                </c:pt>
                <c:pt idx="40">
                  <c:v>15.999999999999996</c:v>
                </c:pt>
                <c:pt idx="41">
                  <c:v>15.5</c:v>
                </c:pt>
                <c:pt idx="4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7-488E-A94C-639F763FD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16391"/>
        <c:axId val="36409351"/>
      </c:barChart>
      <c:catAx>
        <c:axId val="22416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09351"/>
        <c:crosses val="autoZero"/>
        <c:auto val="1"/>
        <c:lblAlgn val="ctr"/>
        <c:lblOffset val="100"/>
        <c:noMultiLvlLbl val="0"/>
      </c:catAx>
      <c:valAx>
        <c:axId val="36409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6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13" Type="http://schemas.openxmlformats.org/officeDocument/2006/relationships/chart" Target="../charts/chart31.xml"/><Relationship Id="rId18" Type="http://schemas.openxmlformats.org/officeDocument/2006/relationships/chart" Target="../charts/chart3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12" Type="http://schemas.openxmlformats.org/officeDocument/2006/relationships/chart" Target="../charts/chart30.xml"/><Relationship Id="rId17" Type="http://schemas.openxmlformats.org/officeDocument/2006/relationships/chart" Target="../charts/chart35.xml"/><Relationship Id="rId2" Type="http://schemas.openxmlformats.org/officeDocument/2006/relationships/chart" Target="../charts/chart20.xml"/><Relationship Id="rId16" Type="http://schemas.openxmlformats.org/officeDocument/2006/relationships/chart" Target="../charts/chart34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5" Type="http://schemas.openxmlformats.org/officeDocument/2006/relationships/chart" Target="../charts/chart33.xml"/><Relationship Id="rId10" Type="http://schemas.openxmlformats.org/officeDocument/2006/relationships/chart" Target="../charts/chart28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Relationship Id="rId1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15</xdr:row>
      <xdr:rowOff>171450</xdr:rowOff>
    </xdr:from>
    <xdr:to>
      <xdr:col>8</xdr:col>
      <xdr:colOff>38100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CE1B87-44EE-8C0C-32F1-A9D110A40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609600</xdr:colOff>
      <xdr:row>52</xdr:row>
      <xdr:rowOff>238125</xdr:rowOff>
    </xdr:from>
    <xdr:to>
      <xdr:col>19</xdr:col>
      <xdr:colOff>0</xdr:colOff>
      <xdr:row>64</xdr:row>
      <xdr:rowOff>238125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3A98DB-FCE7-6505-ECE2-3AA1B7B92A0A}"/>
            </a:ext>
            <a:ext uri="{147F2762-F138-4A5C-976F-8EAC2B608ADB}">
              <a16:predDERef xmlns:a16="http://schemas.microsoft.com/office/drawing/2014/main" pred="{40CE1B87-44EE-8C0C-32F1-A9D110A40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52</xdr:row>
      <xdr:rowOff>219075</xdr:rowOff>
    </xdr:from>
    <xdr:to>
      <xdr:col>30</xdr:col>
      <xdr:colOff>619125</xdr:colOff>
      <xdr:row>64</xdr:row>
      <xdr:rowOff>209550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0C6053-EAC5-3329-6B8C-126800D88A4D}"/>
            </a:ext>
            <a:ext uri="{147F2762-F138-4A5C-976F-8EAC2B608ADB}">
              <a16:predDERef xmlns:a16="http://schemas.microsoft.com/office/drawing/2014/main" pred="{4F3A98DB-FCE7-6505-ECE2-3AA1B7B92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1185863</xdr:colOff>
      <xdr:row>12</xdr:row>
      <xdr:rowOff>119062</xdr:rowOff>
    </xdr:from>
    <xdr:to>
      <xdr:col>4</xdr:col>
      <xdr:colOff>1395413</xdr:colOff>
      <xdr:row>14</xdr:row>
      <xdr:rowOff>128587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90BBCFD0-6DD7-496A-B2B6-ACD72ECCB594}"/>
            </a:ext>
            <a:ext uri="{147F2762-F138-4A5C-976F-8EAC2B608ADB}">
              <a16:predDERef xmlns:a16="http://schemas.microsoft.com/office/drawing/2014/main" pred="{330C6053-EAC5-3329-6B8C-126800D88A4D}"/>
            </a:ext>
          </a:extLst>
        </xdr:cNvPr>
        <xdr:cNvSpPr/>
      </xdr:nvSpPr>
      <xdr:spPr>
        <a:xfrm rot="5400000">
          <a:off x="3543300" y="3362325"/>
          <a:ext cx="5238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1390650</xdr:colOff>
      <xdr:row>50</xdr:row>
      <xdr:rowOff>133350</xdr:rowOff>
    </xdr:from>
    <xdr:to>
      <xdr:col>14</xdr:col>
      <xdr:colOff>95250</xdr:colOff>
      <xdr:row>52</xdr:row>
      <xdr:rowOff>142875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11083177-CC1A-4C90-8A7E-61B48508AA3E}"/>
            </a:ext>
            <a:ext uri="{147F2762-F138-4A5C-976F-8EAC2B608ADB}">
              <a16:predDERef xmlns:a16="http://schemas.microsoft.com/office/drawing/2014/main" pred="{49671F23-0755-44AC-AB6B-34C8D2C48DFB}"/>
            </a:ext>
          </a:extLst>
        </xdr:cNvPr>
        <xdr:cNvSpPr/>
      </xdr:nvSpPr>
      <xdr:spPr>
        <a:xfrm rot="5400000">
          <a:off x="11158537" y="13111163"/>
          <a:ext cx="5238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23</xdr:col>
      <xdr:colOff>1419225</xdr:colOff>
      <xdr:row>50</xdr:row>
      <xdr:rowOff>104775</xdr:rowOff>
    </xdr:from>
    <xdr:to>
      <xdr:col>24</xdr:col>
      <xdr:colOff>123825</xdr:colOff>
      <xdr:row>52</xdr:row>
      <xdr:rowOff>114300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6ACF9E81-6ADD-439C-A3F4-5F14E320ED05}"/>
            </a:ext>
            <a:ext uri="{147F2762-F138-4A5C-976F-8EAC2B608ADB}">
              <a16:predDERef xmlns:a16="http://schemas.microsoft.com/office/drawing/2014/main" pred="{11083177-CC1A-4C90-8A7E-61B48508AA3E}"/>
            </a:ext>
          </a:extLst>
        </xdr:cNvPr>
        <xdr:cNvSpPr/>
      </xdr:nvSpPr>
      <xdr:spPr>
        <a:xfrm rot="5400000">
          <a:off x="19226212" y="13082588"/>
          <a:ext cx="5238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276225</xdr:colOff>
      <xdr:row>12</xdr:row>
      <xdr:rowOff>76200</xdr:rowOff>
    </xdr:from>
    <xdr:to>
      <xdr:col>5</xdr:col>
      <xdr:colOff>371475</xdr:colOff>
      <xdr:row>15</xdr:row>
      <xdr:rowOff>28575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EF630A16-DDC3-4F80-AB61-4104270751DE}"/>
            </a:ext>
            <a:ext uri="{147F2762-F138-4A5C-976F-8EAC2B608ADB}">
              <a16:predDERef xmlns:a16="http://schemas.microsoft.com/office/drawing/2014/main" pred="{6ACF9E81-6ADD-439C-A3F4-5F14E320ED05}"/>
            </a:ext>
          </a:extLst>
        </xdr:cNvPr>
        <xdr:cNvSpPr/>
      </xdr:nvSpPr>
      <xdr:spPr>
        <a:xfrm rot="5400000">
          <a:off x="3548062" y="2938463"/>
          <a:ext cx="523875" cy="952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15</xdr:row>
      <xdr:rowOff>0</xdr:rowOff>
    </xdr:from>
    <xdr:to>
      <xdr:col>7</xdr:col>
      <xdr:colOff>600075</xdr:colOff>
      <xdr:row>28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57793D-6EE7-C958-E439-37F34BEA4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57</xdr:row>
      <xdr:rowOff>180975</xdr:rowOff>
    </xdr:from>
    <xdr:to>
      <xdr:col>18</xdr:col>
      <xdr:colOff>590550</xdr:colOff>
      <xdr:row>73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4CA6C0-6091-D872-85DE-8DAF548754B6}"/>
            </a:ext>
            <a:ext uri="{147F2762-F138-4A5C-976F-8EAC2B608ADB}">
              <a16:predDERef xmlns:a16="http://schemas.microsoft.com/office/drawing/2014/main" pred="{8557793D-6EE7-C958-E439-37F34BEA4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600075</xdr:colOff>
      <xdr:row>57</xdr:row>
      <xdr:rowOff>171450</xdr:rowOff>
    </xdr:from>
    <xdr:to>
      <xdr:col>30</xdr:col>
      <xdr:colOff>590550</xdr:colOff>
      <xdr:row>73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230848-F901-87E5-EFBB-585C30FB4ACF}"/>
            </a:ext>
            <a:ext uri="{147F2762-F138-4A5C-976F-8EAC2B608ADB}">
              <a16:predDERef xmlns:a16="http://schemas.microsoft.com/office/drawing/2014/main" pred="{8C4CA6C0-6091-D872-85DE-8DAF54875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738187</xdr:colOff>
      <xdr:row>12</xdr:row>
      <xdr:rowOff>14288</xdr:rowOff>
    </xdr:from>
    <xdr:to>
      <xdr:col>5</xdr:col>
      <xdr:colOff>42862</xdr:colOff>
      <xdr:row>14</xdr:row>
      <xdr:rowOff>71438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F5E49685-8CBC-4617-9ACB-75DD504E7998}"/>
            </a:ext>
            <a:ext uri="{147F2762-F138-4A5C-976F-8EAC2B608ADB}">
              <a16:predDERef xmlns:a16="http://schemas.microsoft.com/office/drawing/2014/main" pred="{34230848-F901-87E5-EFBB-585C30FB4ACF}"/>
            </a:ext>
          </a:extLst>
        </xdr:cNvPr>
        <xdr:cNvSpPr/>
      </xdr:nvSpPr>
      <xdr:spPr>
        <a:xfrm rot="5400000">
          <a:off x="3000375" y="2476500"/>
          <a:ext cx="438150" cy="857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1009650</xdr:colOff>
      <xdr:row>55</xdr:row>
      <xdr:rowOff>57150</xdr:rowOff>
    </xdr:from>
    <xdr:to>
      <xdr:col>13</xdr:col>
      <xdr:colOff>1104900</xdr:colOff>
      <xdr:row>57</xdr:row>
      <xdr:rowOff>76200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DFE83430-34DF-40CC-887F-691DA286A066}"/>
            </a:ext>
            <a:ext uri="{147F2762-F138-4A5C-976F-8EAC2B608ADB}">
              <a16:predDERef xmlns:a16="http://schemas.microsoft.com/office/drawing/2014/main" pred="{F5E49685-8CBC-4617-9ACB-75DD504E7998}"/>
            </a:ext>
          </a:extLst>
        </xdr:cNvPr>
        <xdr:cNvSpPr/>
      </xdr:nvSpPr>
      <xdr:spPr>
        <a:xfrm rot="5400000">
          <a:off x="9201150" y="10687050"/>
          <a:ext cx="400050" cy="952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24</xdr:col>
      <xdr:colOff>1104900</xdr:colOff>
      <xdr:row>55</xdr:row>
      <xdr:rowOff>66675</xdr:rowOff>
    </xdr:from>
    <xdr:to>
      <xdr:col>24</xdr:col>
      <xdr:colOff>1200150</xdr:colOff>
      <xdr:row>57</xdr:row>
      <xdr:rowOff>85725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DF9E67C8-E331-4E5B-B5E5-6B37AC83C004}"/>
            </a:ext>
            <a:ext uri="{147F2762-F138-4A5C-976F-8EAC2B608ADB}">
              <a16:predDERef xmlns:a16="http://schemas.microsoft.com/office/drawing/2014/main" pred="{DFE83430-34DF-40CC-887F-691DA286A066}"/>
            </a:ext>
          </a:extLst>
        </xdr:cNvPr>
        <xdr:cNvSpPr/>
      </xdr:nvSpPr>
      <xdr:spPr>
        <a:xfrm rot="5400000">
          <a:off x="16973550" y="10696575"/>
          <a:ext cx="400050" cy="952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</xdr:row>
      <xdr:rowOff>0</xdr:rowOff>
    </xdr:from>
    <xdr:to>
      <xdr:col>14</xdr:col>
      <xdr:colOff>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75FE2-DD28-84AB-D06F-DF38A6B3B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152400</xdr:colOff>
      <xdr:row>6</xdr:row>
      <xdr:rowOff>76200</xdr:rowOff>
    </xdr:from>
    <xdr:to>
      <xdr:col>4</xdr:col>
      <xdr:colOff>114300</xdr:colOff>
      <xdr:row>7</xdr:row>
      <xdr:rowOff>95250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208289AF-06AD-2C9B-7DC3-244BC0567542}"/>
            </a:ext>
            <a:ext uri="{147F2762-F138-4A5C-976F-8EAC2B608ADB}">
              <a16:predDERef xmlns:a16="http://schemas.microsoft.com/office/drawing/2014/main" pred="{73A75FE2-DD28-84AB-D06F-DF38A6B3B4D5}"/>
            </a:ext>
          </a:extLst>
        </xdr:cNvPr>
        <xdr:cNvSpPr/>
      </xdr:nvSpPr>
      <xdr:spPr>
        <a:xfrm>
          <a:off x="2400300" y="1219200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0</xdr:colOff>
      <xdr:row>25</xdr:row>
      <xdr:rowOff>152400</xdr:rowOff>
    </xdr:from>
    <xdr:to>
      <xdr:col>16</xdr:col>
      <xdr:colOff>581025</xdr:colOff>
      <xdr:row>44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7C5D47-B127-026B-B525-AFE023E727C2}"/>
            </a:ext>
            <a:ext uri="{147F2762-F138-4A5C-976F-8EAC2B608ADB}">
              <a16:predDERef xmlns:a16="http://schemas.microsoft.com/office/drawing/2014/main" pred="{208289AF-06AD-2C9B-7DC3-244BC0567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333375</xdr:colOff>
      <xdr:row>34</xdr:row>
      <xdr:rowOff>66675</xdr:rowOff>
    </xdr:from>
    <xdr:to>
      <xdr:col>4</xdr:col>
      <xdr:colOff>295275</xdr:colOff>
      <xdr:row>35</xdr:row>
      <xdr:rowOff>85725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68F59395-D123-470C-B99C-CA7873111AED}"/>
            </a:ext>
            <a:ext uri="{147F2762-F138-4A5C-976F-8EAC2B608ADB}">
              <a16:predDERef xmlns:a16="http://schemas.microsoft.com/office/drawing/2014/main" pred="{E87C5D47-B127-026B-B525-AFE023E727C2}"/>
            </a:ext>
          </a:extLst>
        </xdr:cNvPr>
        <xdr:cNvSpPr/>
      </xdr:nvSpPr>
      <xdr:spPr>
        <a:xfrm>
          <a:off x="3133725" y="6543675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419100</xdr:colOff>
      <xdr:row>82</xdr:row>
      <xdr:rowOff>161925</xdr:rowOff>
    </xdr:from>
    <xdr:to>
      <xdr:col>15</xdr:col>
      <xdr:colOff>561975</xdr:colOff>
      <xdr:row>101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B50B9A-A698-47D7-4CEE-2290EFEF88E7}"/>
            </a:ext>
            <a:ext uri="{147F2762-F138-4A5C-976F-8EAC2B608ADB}">
              <a16:predDERef xmlns:a16="http://schemas.microsoft.com/office/drawing/2014/main" pred="{68F59395-D123-470C-B99C-CA7873111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276225</xdr:colOff>
      <xdr:row>91</xdr:row>
      <xdr:rowOff>19050</xdr:rowOff>
    </xdr:from>
    <xdr:to>
      <xdr:col>4</xdr:col>
      <xdr:colOff>238125</xdr:colOff>
      <xdr:row>92</xdr:row>
      <xdr:rowOff>38100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9573A7D8-4E60-46CA-A3C1-2D085A1330A1}"/>
            </a:ext>
            <a:ext uri="{147F2762-F138-4A5C-976F-8EAC2B608ADB}">
              <a16:predDERef xmlns:a16="http://schemas.microsoft.com/office/drawing/2014/main" pred="{13B50B9A-A698-47D7-4CEE-2290EFEF88E7}"/>
            </a:ext>
          </a:extLst>
        </xdr:cNvPr>
        <xdr:cNvSpPr/>
      </xdr:nvSpPr>
      <xdr:spPr>
        <a:xfrm>
          <a:off x="3276600" y="17354550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0</xdr:row>
      <xdr:rowOff>180975</xdr:rowOff>
    </xdr:from>
    <xdr:to>
      <xdr:col>12</xdr:col>
      <xdr:colOff>419100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86CFB8-017E-3FB0-DD2D-801C1C970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333375</xdr:colOff>
      <xdr:row>6</xdr:row>
      <xdr:rowOff>180975</xdr:rowOff>
    </xdr:from>
    <xdr:to>
      <xdr:col>4</xdr:col>
      <xdr:colOff>247650</xdr:colOff>
      <xdr:row>8</xdr:row>
      <xdr:rowOff>9525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C4C3486D-6E79-46F2-BD6B-6B3981FF58AF}"/>
            </a:ext>
            <a:ext uri="{147F2762-F138-4A5C-976F-8EAC2B608ADB}">
              <a16:predDERef xmlns:a16="http://schemas.microsoft.com/office/drawing/2014/main" pred="{B686CFB8-017E-3FB0-DD2D-801C1C97034A}"/>
            </a:ext>
          </a:extLst>
        </xdr:cNvPr>
        <xdr:cNvSpPr/>
      </xdr:nvSpPr>
      <xdr:spPr>
        <a:xfrm>
          <a:off x="2581275" y="1323975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171450</xdr:colOff>
      <xdr:row>23</xdr:row>
      <xdr:rowOff>180975</xdr:rowOff>
    </xdr:from>
    <xdr:to>
      <xdr:col>14</xdr:col>
      <xdr:colOff>590550</xdr:colOff>
      <xdr:row>44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EF9953-B7F9-BF7A-6C1E-429A7F6626B6}"/>
            </a:ext>
            <a:ext uri="{147F2762-F138-4A5C-976F-8EAC2B608ADB}">
              <a16:predDERef xmlns:a16="http://schemas.microsoft.com/office/drawing/2014/main" pred="{C4C3486D-6E79-46F2-BD6B-6B3981FF5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123825</xdr:colOff>
      <xdr:row>34</xdr:row>
      <xdr:rowOff>161925</xdr:rowOff>
    </xdr:from>
    <xdr:to>
      <xdr:col>4</xdr:col>
      <xdr:colOff>38100</xdr:colOff>
      <xdr:row>35</xdr:row>
      <xdr:rowOff>180975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3ED4F499-006F-4CF6-A51D-F4C5E7615FB8}"/>
            </a:ext>
            <a:ext uri="{147F2762-F138-4A5C-976F-8EAC2B608ADB}">
              <a16:predDERef xmlns:a16="http://schemas.microsoft.com/office/drawing/2014/main" pred="{C1EF9953-B7F9-BF7A-6C1E-429A7F6626B6}"/>
            </a:ext>
          </a:extLst>
        </xdr:cNvPr>
        <xdr:cNvSpPr/>
      </xdr:nvSpPr>
      <xdr:spPr>
        <a:xfrm>
          <a:off x="2771775" y="6638925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419100</xdr:colOff>
      <xdr:row>89</xdr:row>
      <xdr:rowOff>0</xdr:rowOff>
    </xdr:from>
    <xdr:to>
      <xdr:col>14</xdr:col>
      <xdr:colOff>581025</xdr:colOff>
      <xdr:row>107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286EC1-F468-2706-7BE5-06552C1033A9}"/>
            </a:ext>
            <a:ext uri="{147F2762-F138-4A5C-976F-8EAC2B608ADB}">
              <a16:predDERef xmlns:a16="http://schemas.microsoft.com/office/drawing/2014/main" pred="{3ED4F499-006F-4CF6-A51D-F4C5E7615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219075</xdr:colOff>
      <xdr:row>96</xdr:row>
      <xdr:rowOff>0</xdr:rowOff>
    </xdr:from>
    <xdr:to>
      <xdr:col>4</xdr:col>
      <xdr:colOff>133350</xdr:colOff>
      <xdr:row>97</xdr:row>
      <xdr:rowOff>19050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E7C8FDD9-BB4D-43B9-8308-AFC74EA8E488}"/>
            </a:ext>
            <a:ext uri="{147F2762-F138-4A5C-976F-8EAC2B608ADB}">
              <a16:predDERef xmlns:a16="http://schemas.microsoft.com/office/drawing/2014/main" pred="{ED286EC1-F468-2706-7BE5-06552C1033A9}"/>
            </a:ext>
          </a:extLst>
        </xdr:cNvPr>
        <xdr:cNvSpPr/>
      </xdr:nvSpPr>
      <xdr:spPr>
        <a:xfrm>
          <a:off x="3067050" y="18288000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6</xdr:row>
      <xdr:rowOff>0</xdr:rowOff>
    </xdr:from>
    <xdr:to>
      <xdr:col>4</xdr:col>
      <xdr:colOff>228600</xdr:colOff>
      <xdr:row>7</xdr:row>
      <xdr:rowOff>19050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D8B692B7-0A66-4750-9F34-242661A4DE33}"/>
            </a:ext>
            <a:ext uri="{147F2762-F138-4A5C-976F-8EAC2B608ADB}">
              <a16:predDERef xmlns:a16="http://schemas.microsoft.com/office/drawing/2014/main" pred="{B686CFB8-017E-3FB0-DD2D-801C1C97034A}"/>
            </a:ext>
          </a:extLst>
        </xdr:cNvPr>
        <xdr:cNvSpPr/>
      </xdr:nvSpPr>
      <xdr:spPr>
        <a:xfrm>
          <a:off x="2514600" y="1143000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428625</xdr:colOff>
      <xdr:row>1</xdr:row>
      <xdr:rowOff>0</xdr:rowOff>
    </xdr:from>
    <xdr:to>
      <xdr:col>12</xdr:col>
      <xdr:colOff>123825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44E660-35C5-ED0C-EC7F-D288D3590E62}"/>
            </a:ext>
            <a:ext uri="{147F2762-F138-4A5C-976F-8EAC2B608ADB}">
              <a16:predDERef xmlns:a16="http://schemas.microsoft.com/office/drawing/2014/main" pred="{D8B692B7-0A66-4750-9F34-242661A4D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400050</xdr:colOff>
      <xdr:row>24</xdr:row>
      <xdr:rowOff>9525</xdr:rowOff>
    </xdr:from>
    <xdr:to>
      <xdr:col>14</xdr:col>
      <xdr:colOff>38100</xdr:colOff>
      <xdr:row>43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3EDE53-1DE1-C8FF-CCD2-D3E339F0748B}"/>
            </a:ext>
            <a:ext uri="{147F2762-F138-4A5C-976F-8EAC2B608ADB}">
              <a16:predDERef xmlns:a16="http://schemas.microsoft.com/office/drawing/2014/main" pred="{6044E660-35C5-ED0C-EC7F-D288D3590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228600</xdr:colOff>
      <xdr:row>32</xdr:row>
      <xdr:rowOff>180975</xdr:rowOff>
    </xdr:from>
    <xdr:to>
      <xdr:col>4</xdr:col>
      <xdr:colOff>190500</xdr:colOff>
      <xdr:row>34</xdr:row>
      <xdr:rowOff>9525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A309BE8B-1144-4871-805F-01405F25CF66}"/>
            </a:ext>
            <a:ext uri="{147F2762-F138-4A5C-976F-8EAC2B608ADB}">
              <a16:predDERef xmlns:a16="http://schemas.microsoft.com/office/drawing/2014/main" pred="{1B3EDE53-1DE1-C8FF-CCD2-D3E339F0748B}"/>
            </a:ext>
          </a:extLst>
        </xdr:cNvPr>
        <xdr:cNvSpPr/>
      </xdr:nvSpPr>
      <xdr:spPr>
        <a:xfrm>
          <a:off x="2933700" y="6276975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342900</xdr:colOff>
      <xdr:row>79</xdr:row>
      <xdr:rowOff>142875</xdr:rowOff>
    </xdr:from>
    <xdr:to>
      <xdr:col>14</xdr:col>
      <xdr:colOff>523875</xdr:colOff>
      <xdr:row>98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8D4921-63B5-218A-A9D6-7806A5EA40B3}"/>
            </a:ext>
            <a:ext uri="{147F2762-F138-4A5C-976F-8EAC2B608ADB}">
              <a16:predDERef xmlns:a16="http://schemas.microsoft.com/office/drawing/2014/main" pred="{A309BE8B-1144-4871-805F-01405F25C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171450</xdr:colOff>
      <xdr:row>89</xdr:row>
      <xdr:rowOff>28575</xdr:rowOff>
    </xdr:from>
    <xdr:to>
      <xdr:col>4</xdr:col>
      <xdr:colOff>133350</xdr:colOff>
      <xdr:row>90</xdr:row>
      <xdr:rowOff>47625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D36BBF33-0B0E-4BA1-A637-534B9E59B744}"/>
            </a:ext>
            <a:ext uri="{147F2762-F138-4A5C-976F-8EAC2B608ADB}">
              <a16:predDERef xmlns:a16="http://schemas.microsoft.com/office/drawing/2014/main" pred="{098D4921-63B5-218A-A9D6-7806A5EA40B3}"/>
            </a:ext>
          </a:extLst>
        </xdr:cNvPr>
        <xdr:cNvSpPr/>
      </xdr:nvSpPr>
      <xdr:spPr>
        <a:xfrm>
          <a:off x="2676525" y="16983075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180975</xdr:rowOff>
    </xdr:from>
    <xdr:to>
      <xdr:col>14</xdr:col>
      <xdr:colOff>600075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51C816-0F8A-64D2-8F12-F7D53D82C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381000</xdr:colOff>
      <xdr:row>6</xdr:row>
      <xdr:rowOff>171450</xdr:rowOff>
    </xdr:from>
    <xdr:to>
      <xdr:col>4</xdr:col>
      <xdr:colOff>342900</xdr:colOff>
      <xdr:row>8</xdr:row>
      <xdr:rowOff>0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6C72F110-5424-4E4D-990B-144B96732211}"/>
            </a:ext>
            <a:ext uri="{147F2762-F138-4A5C-976F-8EAC2B608ADB}">
              <a16:predDERef xmlns:a16="http://schemas.microsoft.com/office/drawing/2014/main" pred="{3351C816-0F8A-64D2-8F12-F7D53D82CA46}"/>
            </a:ext>
          </a:extLst>
        </xdr:cNvPr>
        <xdr:cNvSpPr/>
      </xdr:nvSpPr>
      <xdr:spPr>
        <a:xfrm>
          <a:off x="2628900" y="1314450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0</xdr:colOff>
      <xdr:row>30</xdr:row>
      <xdr:rowOff>180975</xdr:rowOff>
    </xdr:from>
    <xdr:to>
      <xdr:col>17</xdr:col>
      <xdr:colOff>381000</xdr:colOff>
      <xdr:row>52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991237-75A6-A530-CB8A-E50143EA0A8D}"/>
            </a:ext>
            <a:ext uri="{147F2762-F138-4A5C-976F-8EAC2B608ADB}">
              <a16:predDERef xmlns:a16="http://schemas.microsoft.com/office/drawing/2014/main" pred="{6C72F110-5424-4E4D-990B-144B96732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381000</xdr:colOff>
      <xdr:row>39</xdr:row>
      <xdr:rowOff>180975</xdr:rowOff>
    </xdr:from>
    <xdr:to>
      <xdr:col>4</xdr:col>
      <xdr:colOff>342900</xdr:colOff>
      <xdr:row>41</xdr:row>
      <xdr:rowOff>9525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62E64B43-022E-4CEC-AE81-2ACE692AD576}"/>
            </a:ext>
            <a:ext uri="{147F2762-F138-4A5C-976F-8EAC2B608ADB}">
              <a16:predDERef xmlns:a16="http://schemas.microsoft.com/office/drawing/2014/main" pred="{89991237-75A6-A530-CB8A-E50143EA0A8D}"/>
            </a:ext>
          </a:extLst>
        </xdr:cNvPr>
        <xdr:cNvSpPr/>
      </xdr:nvSpPr>
      <xdr:spPr>
        <a:xfrm>
          <a:off x="3028950" y="7610475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600075</xdr:colOff>
      <xdr:row>83</xdr:row>
      <xdr:rowOff>171450</xdr:rowOff>
    </xdr:from>
    <xdr:to>
      <xdr:col>17</xdr:col>
      <xdr:colOff>428625</xdr:colOff>
      <xdr:row>106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030C7F-0660-746F-35A2-23CF47137C92}"/>
            </a:ext>
            <a:ext uri="{147F2762-F138-4A5C-976F-8EAC2B608ADB}">
              <a16:predDERef xmlns:a16="http://schemas.microsoft.com/office/drawing/2014/main" pred="{62E64B43-022E-4CEC-AE81-2ACE692AD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361950</xdr:colOff>
      <xdr:row>94</xdr:row>
      <xdr:rowOff>0</xdr:rowOff>
    </xdr:from>
    <xdr:to>
      <xdr:col>4</xdr:col>
      <xdr:colOff>323850</xdr:colOff>
      <xdr:row>95</xdr:row>
      <xdr:rowOff>19050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70B03DC5-D8EB-4AFC-9014-9816A9AA6D32}"/>
            </a:ext>
            <a:ext uri="{147F2762-F138-4A5C-976F-8EAC2B608ADB}">
              <a16:predDERef xmlns:a16="http://schemas.microsoft.com/office/drawing/2014/main" pred="{7D030C7F-0660-746F-35A2-23CF47137C92}"/>
            </a:ext>
          </a:extLst>
        </xdr:cNvPr>
        <xdr:cNvSpPr/>
      </xdr:nvSpPr>
      <xdr:spPr>
        <a:xfrm>
          <a:off x="2876550" y="17907000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13</xdr:row>
      <xdr:rowOff>9525</xdr:rowOff>
    </xdr:from>
    <xdr:to>
      <xdr:col>14</xdr:col>
      <xdr:colOff>581025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2D1C92-761C-43A7-B933-DE766C3F6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</xdr:colOff>
      <xdr:row>35</xdr:row>
      <xdr:rowOff>0</xdr:rowOff>
    </xdr:from>
    <xdr:to>
      <xdr:col>14</xdr:col>
      <xdr:colOff>581025</xdr:colOff>
      <xdr:row>54</xdr:row>
      <xdr:rowOff>161925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7626BA86-A8AE-4672-9CFD-FEF02A8E11B8}"/>
            </a:ext>
            <a:ext uri="{147F2762-F138-4A5C-976F-8EAC2B608ADB}">
              <a16:predDERef xmlns:a16="http://schemas.microsoft.com/office/drawing/2014/main" pred="{002D1C92-761C-43A7-B933-DE766C3F6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</xdr:colOff>
      <xdr:row>57</xdr:row>
      <xdr:rowOff>0</xdr:rowOff>
    </xdr:from>
    <xdr:to>
      <xdr:col>14</xdr:col>
      <xdr:colOff>590550</xdr:colOff>
      <xdr:row>76</xdr:row>
      <xdr:rowOff>171450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ED7EA4D7-F50B-491F-90B9-24B9529B3E0E}"/>
            </a:ext>
            <a:ext uri="{147F2762-F138-4A5C-976F-8EAC2B608ADB}">
              <a16:predDERef xmlns:a16="http://schemas.microsoft.com/office/drawing/2014/main" pred="{7626BA86-A8AE-4672-9CFD-FEF02A8E1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9525</xdr:colOff>
      <xdr:row>13</xdr:row>
      <xdr:rowOff>0</xdr:rowOff>
    </xdr:from>
    <xdr:to>
      <xdr:col>31</xdr:col>
      <xdr:colOff>600075</xdr:colOff>
      <xdr:row>32</xdr:row>
      <xdr:rowOff>171450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D8570743-E868-4D90-A674-78AA8D0487F7}"/>
            </a:ext>
            <a:ext uri="{147F2762-F138-4A5C-976F-8EAC2B608ADB}">
              <a16:predDERef xmlns:a16="http://schemas.microsoft.com/office/drawing/2014/main" pred="{ED7EA4D7-F50B-491F-90B9-24B9529B3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35</xdr:row>
      <xdr:rowOff>9525</xdr:rowOff>
    </xdr:from>
    <xdr:to>
      <xdr:col>31</xdr:col>
      <xdr:colOff>590550</xdr:colOff>
      <xdr:row>54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9DD9FE-6C06-430F-8B1A-56A7BC57094B}"/>
            </a:ext>
            <a:ext uri="{147F2762-F138-4A5C-976F-8EAC2B608ADB}">
              <a16:predDERef xmlns:a16="http://schemas.microsoft.com/office/drawing/2014/main" pred="{D8570743-E868-4D90-A674-78AA8D048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57</xdr:row>
      <xdr:rowOff>0</xdr:rowOff>
    </xdr:from>
    <xdr:to>
      <xdr:col>31</xdr:col>
      <xdr:colOff>600075</xdr:colOff>
      <xdr:row>76</xdr:row>
      <xdr:rowOff>161925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FB9AA9FF-DFDB-4A87-BEF3-E073B5D89946}"/>
            </a:ext>
            <a:ext uri="{147F2762-F138-4A5C-976F-8EAC2B608ADB}">
              <a16:predDERef xmlns:a16="http://schemas.microsoft.com/office/drawing/2014/main" pred="{429DD9FE-6C06-430F-8B1A-56A7BC570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0</xdr:colOff>
      <xdr:row>13</xdr:row>
      <xdr:rowOff>0</xdr:rowOff>
    </xdr:from>
    <xdr:to>
      <xdr:col>48</xdr:col>
      <xdr:colOff>600075</xdr:colOff>
      <xdr:row>32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E13590-0815-400D-9F69-5E4E780835CD}"/>
            </a:ext>
            <a:ext uri="{147F2762-F138-4A5C-976F-8EAC2B608ADB}">
              <a16:predDERef xmlns:a16="http://schemas.microsoft.com/office/drawing/2014/main" pred="{FB9AA9FF-DFDB-4A87-BEF3-E073B5D89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0</xdr:colOff>
      <xdr:row>35</xdr:row>
      <xdr:rowOff>0</xdr:rowOff>
    </xdr:from>
    <xdr:to>
      <xdr:col>48</xdr:col>
      <xdr:colOff>600075</xdr:colOff>
      <xdr:row>54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E60CBD-5EFB-4108-BADA-5438982A0E8D}"/>
            </a:ext>
            <a:ext uri="{147F2762-F138-4A5C-976F-8EAC2B608ADB}">
              <a16:predDERef xmlns:a16="http://schemas.microsoft.com/office/drawing/2014/main" pred="{48E13590-0815-400D-9F69-5E4E78083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0</xdr:colOff>
      <xdr:row>57</xdr:row>
      <xdr:rowOff>0</xdr:rowOff>
    </xdr:from>
    <xdr:to>
      <xdr:col>48</xdr:col>
      <xdr:colOff>600075</xdr:colOff>
      <xdr:row>76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89ED528-D909-4562-A7F7-2636DA4B19FB}"/>
            </a:ext>
            <a:ext uri="{147F2762-F138-4A5C-976F-8EAC2B608ADB}">
              <a16:predDERef xmlns:a16="http://schemas.microsoft.com/office/drawing/2014/main" pred="{70E60CBD-5EFB-4108-BADA-5438982A0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53</xdr:col>
      <xdr:colOff>0</xdr:colOff>
      <xdr:row>13</xdr:row>
      <xdr:rowOff>0</xdr:rowOff>
    </xdr:from>
    <xdr:to>
      <xdr:col>65</xdr:col>
      <xdr:colOff>600075</xdr:colOff>
      <xdr:row>32</xdr:row>
      <xdr:rowOff>161925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21FA204-1B76-4D23-88A9-FCA24729284E}"/>
            </a:ext>
            <a:ext uri="{147F2762-F138-4A5C-976F-8EAC2B608ADB}">
              <a16:predDERef xmlns:a16="http://schemas.microsoft.com/office/drawing/2014/main" pred="{389ED528-D909-4562-A7F7-2636DA4B1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53</xdr:col>
      <xdr:colOff>0</xdr:colOff>
      <xdr:row>35</xdr:row>
      <xdr:rowOff>0</xdr:rowOff>
    </xdr:from>
    <xdr:to>
      <xdr:col>65</xdr:col>
      <xdr:colOff>590550</xdr:colOff>
      <xdr:row>54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80A2C8D-646E-4635-BE93-2957F71AC30E}"/>
            </a:ext>
            <a:ext uri="{147F2762-F138-4A5C-976F-8EAC2B608ADB}">
              <a16:predDERef xmlns:a16="http://schemas.microsoft.com/office/drawing/2014/main" pred="{421FA204-1B76-4D23-88A9-FCA247292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53</xdr:col>
      <xdr:colOff>0</xdr:colOff>
      <xdr:row>57</xdr:row>
      <xdr:rowOff>0</xdr:rowOff>
    </xdr:from>
    <xdr:to>
      <xdr:col>65</xdr:col>
      <xdr:colOff>600075</xdr:colOff>
      <xdr:row>76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74EF5DE-6B45-4EEB-BF01-3CE66FA50D79}"/>
            </a:ext>
            <a:ext uri="{147F2762-F138-4A5C-976F-8EAC2B608ADB}">
              <a16:predDERef xmlns:a16="http://schemas.microsoft.com/office/drawing/2014/main" pred="{C80A2C8D-646E-4635-BE93-2957F71AC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19050</xdr:colOff>
      <xdr:row>84</xdr:row>
      <xdr:rowOff>28575</xdr:rowOff>
    </xdr:from>
    <xdr:to>
      <xdr:col>14</xdr:col>
      <xdr:colOff>600075</xdr:colOff>
      <xdr:row>103</xdr:row>
      <xdr:rowOff>171450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DD6BE46-7148-49F2-860A-5B6F50D4D111}"/>
            </a:ext>
            <a:ext uri="{147F2762-F138-4A5C-976F-8EAC2B608ADB}">
              <a16:predDERef xmlns:a16="http://schemas.microsoft.com/office/drawing/2014/main" pred="{C74EF5DE-6B45-4EEB-BF01-3CE66FA50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28575</xdr:colOff>
      <xdr:row>106</xdr:row>
      <xdr:rowOff>19050</xdr:rowOff>
    </xdr:from>
    <xdr:to>
      <xdr:col>14</xdr:col>
      <xdr:colOff>590550</xdr:colOff>
      <xdr:row>125</xdr:row>
      <xdr:rowOff>161925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1D13195-08F6-446F-8883-FEEC2A1AC65B}"/>
            </a:ext>
            <a:ext uri="{147F2762-F138-4A5C-976F-8EAC2B608ADB}">
              <a16:predDERef xmlns:a16="http://schemas.microsoft.com/office/drawing/2014/main" pred="{CDD6BE46-7148-49F2-860A-5B6F50D4D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128</xdr:row>
      <xdr:rowOff>28575</xdr:rowOff>
    </xdr:from>
    <xdr:to>
      <xdr:col>14</xdr:col>
      <xdr:colOff>581025</xdr:colOff>
      <xdr:row>147</xdr:row>
      <xdr:rowOff>161925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893D0E6-F79B-4150-806D-D21AC0CBF957}"/>
            </a:ext>
            <a:ext uri="{147F2762-F138-4A5C-976F-8EAC2B608ADB}">
              <a16:predDERef xmlns:a16="http://schemas.microsoft.com/office/drawing/2014/main" pred="{21D13195-08F6-446F-8883-FEEC2A1AC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19</xdr:col>
      <xdr:colOff>0</xdr:colOff>
      <xdr:row>84</xdr:row>
      <xdr:rowOff>0</xdr:rowOff>
    </xdr:from>
    <xdr:to>
      <xdr:col>31</xdr:col>
      <xdr:colOff>581025</xdr:colOff>
      <xdr:row>103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291B397-CD02-4A97-8474-9D132120B20D}"/>
            </a:ext>
            <a:ext uri="{147F2762-F138-4A5C-976F-8EAC2B608ADB}">
              <a16:predDERef xmlns:a16="http://schemas.microsoft.com/office/drawing/2014/main" pred="{F893D0E6-F79B-4150-806D-D21AC0CBF9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19</xdr:col>
      <xdr:colOff>9525</xdr:colOff>
      <xdr:row>128</xdr:row>
      <xdr:rowOff>9525</xdr:rowOff>
    </xdr:from>
    <xdr:to>
      <xdr:col>31</xdr:col>
      <xdr:colOff>600075</xdr:colOff>
      <xdr:row>147</xdr:row>
      <xdr:rowOff>152400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DDCA3B6-7FE2-4146-A0C3-123ED22E4F97}"/>
            </a:ext>
            <a:ext uri="{147F2762-F138-4A5C-976F-8EAC2B608ADB}">
              <a16:predDERef xmlns:a16="http://schemas.microsoft.com/office/drawing/2014/main" pred="{A291B397-CD02-4A97-8474-9D132120B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19</xdr:col>
      <xdr:colOff>0</xdr:colOff>
      <xdr:row>106</xdr:row>
      <xdr:rowOff>0</xdr:rowOff>
    </xdr:from>
    <xdr:to>
      <xdr:col>31</xdr:col>
      <xdr:colOff>581025</xdr:colOff>
      <xdr:row>125</xdr:row>
      <xdr:rowOff>161925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EB2929C-1089-451E-937C-3F8B025EF098}"/>
            </a:ext>
            <a:ext uri="{147F2762-F138-4A5C-976F-8EAC2B608ADB}">
              <a16:predDERef xmlns:a16="http://schemas.microsoft.com/office/drawing/2014/main" pred="{FDDCA3B6-7FE2-4146-A0C3-123ED22E4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2.817921527778" createdVersion="8" refreshedVersion="8" minRefreshableVersion="3" recordCount="473" xr:uid="{88CBC15E-C58E-4885-A3CA-30099C964F3F}">
  <cacheSource type="worksheet">
    <worksheetSource name="Table7"/>
  </cacheSource>
  <cacheFields count="8">
    <cacheField name="Date" numFmtId="14">
      <sharedItems containsSemiMixedTypes="0" containsNonDate="0" containsDate="1" containsString="0" minDate="2026-08-03T00:00:00" maxDate="2026-09-27T00:00:00" count="55"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</sharedItems>
    </cacheField>
    <cacheField name="Product" numFmtId="0">
      <sharedItems containsBlank="1" count="153">
        <s v="1&quot; Pipe"/>
        <s v="Loose Pipe"/>
        <s v="1&quot; Ball Valve"/>
        <s v="Handpump"/>
        <s v="Solvent 10ml"/>
        <s v="Aree Blade"/>
        <s v="Shower"/>
        <s v="Tap"/>
        <s v="3&quot; Bocket"/>
        <s v="4&quot; Pipe"/>
        <s v="4&quot; Coupler"/>
        <s v="4&quot; Band"/>
        <s v="4&quot; Tee"/>
        <s v="Solvent PVC"/>
        <s v="M-Seal"/>
        <s v="Tank Cover"/>
        <s v="3&quot; Pipe"/>
        <s v="3&quot; Coupler"/>
        <s v="3&quot; Band"/>
        <s v="3&quot; Tee"/>
        <s v="3&quot; Hook"/>
        <s v="3&quot; End Cap"/>
        <s v="Angle Cock"/>
        <s v="Connection Pipe"/>
        <s v="Stand Besin"/>
        <s v="Waste Pipe"/>
        <s v="1/2&quot;x12&quot; Nepul"/>
        <s v="White Cement"/>
        <s v="1&quot; Elbow"/>
        <s v="1&quot; Coupler"/>
        <s v="Solvent"/>
        <s v="PVC Hook"/>
        <s v="Flusher"/>
        <s v="Fan Hook"/>
        <s v="4&quot; Blade"/>
        <s v="Long Tap"/>
        <s v="1/2&quot; Pipe"/>
        <s v="5&quot; Syphan"/>
        <s v="1&quot;x4&quot; Nepul"/>
        <s v="1½&quot;x3/4&quot; Rodiser"/>
        <s v="1½&quot;x6&quot; Nepul"/>
        <s v="3/4&quot; Checkvalve"/>
        <s v="3/4&quot;x3&quot; Nepul"/>
        <s v="Suta"/>
        <s v="Plumber Masala"/>
        <s v="1/2&quot; Check Valve"/>
        <s v="1/2&quot; B MTA"/>
        <s v="Solvent 20ml"/>
        <s v="Pump Handle"/>
        <s v="Nut Bolt"/>
        <s v="PVC Solvent"/>
        <s v="3/4&quot; Pipe"/>
        <s v="3/4&quot; Elbow"/>
        <s v="3/4&quot; Union"/>
        <s v="Solvent 100ml"/>
        <s v="3/4&quot; PVC Hook"/>
        <s v="Steel Tap"/>
        <s v="Hand Shower"/>
        <s v="3/4&quot; Cancilled"/>
        <s v="Teplon"/>
        <s v="1/2&quot; Plug"/>
        <s v="1/2&quot; Connection Pipe"/>
        <s v="Steel Angle Cock"/>
        <s v="3/4&quot;x1/2&quot; B Elbow"/>
        <s v="1&quot;x3/4&quot; Buss"/>
        <s v="1&quot; MTA"/>
        <s v="1&quot; Union"/>
        <s v="3/4&quot; Ball Valve"/>
        <s v="3&quot; Y Tee"/>
        <s v="3&quot; Half Band"/>
        <s v="3&quot; Jali"/>
        <s v="5&quot; Blade"/>
        <s v="Seat"/>
        <s v="5&quot;x4&quot; Syphan"/>
        <s v="Sypahn Baser"/>
        <s v="Solvent 50ml"/>
        <s v="3&quot; Gold Plenjer"/>
        <s v="1&quot; Tee"/>
        <s v="1&quot; Loose Pipe"/>
        <s v="Jointer"/>
        <s v="1&quot; Clip"/>
        <s v="3/4&quot; Coupler"/>
        <s v="1/2&quot; Ferul"/>
        <s v="3/4&quot;x1/2&quot; B FTA"/>
        <s v="Motor"/>
        <s v="Pillar Cock"/>
        <s v="Waste Coupling"/>
        <s v="Faster Nut"/>
        <s v="6&quot; Pipe"/>
        <s v="6&quot; Band"/>
        <s v="6&quot; Hook"/>
        <s v="6&quot;x5&quot; Syphan"/>
        <s v="4&quot; Y Tee"/>
        <s v="4&quot; Half Band"/>
        <s v="4&quot; Hook"/>
        <s v="1/2&quot; Cancilled"/>
        <s v="Brass Shower"/>
        <s v="Sink Cock"/>
        <s v="4&quot;x3&quot; Coupler"/>
        <s v="3/4&quot; Check Valve"/>
        <s v="1&quot;×3/4&quot; Buss"/>
        <s v="3/4 &quot; Elbow"/>
        <s v="Solvent 40ml"/>
        <s v="3/4&quot;×1/2&quot; B Elbow"/>
        <s v="Clip"/>
        <s v="Motor 1HP"/>
        <s v="GI Hook"/>
        <s v="Loha Brush"/>
        <s v="3/4&quot; Ferul"/>
        <s v="3/4&quot; B FTA"/>
        <s v="1&quot;×3/4&quot; Tee"/>
        <s v="1&quot;×3/4&quot; Elbow"/>
        <s v="1&quot;×3/4&quot; Coupler"/>
        <s v="1&quot;×1/2&quot; B Elbow"/>
        <s v="1&quot;×1/2&quot; B Tee"/>
        <s v="Wash Besin"/>
        <s v="Waste Couplin"/>
        <s v="1&quot;×12&quot; Nepul"/>
        <s v="Wash Besin Tap"/>
        <s v="4&quot; Nehali Trap"/>
        <s v="Sit (Hindware)"/>
        <s v="2 in 1 Diverter"/>
        <s v="1&quot; Baipass"/>
        <s v="3/4&quot; Baipass"/>
        <s v="3/4&quot; 45° Elbow"/>
        <s v="3&quot; Elbow"/>
        <s v="4&quot; Cut Jali"/>
        <s v="1/2&quot; Loose Pipe"/>
        <s v="3/4&quot;×1/2&quot; B FTA"/>
        <s v="Motor 1/2HP"/>
        <s v="3&quot; Baser"/>
        <s v="4&quot; Elbow"/>
        <s v="Toilet Seat"/>
        <s v="5&quot;×4&quot; Jointer"/>
        <s v="Cream"/>
        <s v="Tank 1000 Ltr"/>
        <s v="Tap (Sink)"/>
        <m/>
        <s v="3/4&quot; Tee"/>
        <s v="2&quot; Pipe"/>
        <s v="2&quot; Coupler"/>
        <s v="2&quot; Elbow"/>
        <s v="3&quot; Plenjer"/>
        <s v="3/4&quot; B.Lbo"/>
        <s v="3/4&quot; B.Tee"/>
        <s v="Check Valve"/>
        <s v="Swan Cock"/>
        <s v="Washing Tap"/>
        <s v="Syphan"/>
        <s v="Sanetry M-Seal"/>
        <s v="Nozzle"/>
        <s v="Two Way Cock"/>
        <s v="Long Band"/>
      </sharedItems>
    </cacheField>
    <cacheField name="Quantity" numFmtId="0">
      <sharedItems containsString="0" containsBlank="1" containsNumber="1" containsInteger="1" minValue="1" maxValue="50"/>
    </cacheField>
    <cacheField name="Sell_Price" numFmtId="164">
      <sharedItems containsString="0" containsBlank="1" containsNumber="1" minValue="3.5" maxValue="8500"/>
    </cacheField>
    <cacheField name="Cost_Price" numFmtId="164">
      <sharedItems containsString="0" containsBlank="1" containsNumber="1" minValue="1.6" maxValue="8300"/>
    </cacheField>
    <cacheField name="Profit" numFmtId="164">
      <sharedItems containsSemiMixedTypes="0" containsString="0" containsNumber="1" minValue="-9" maxValue="462"/>
    </cacheField>
    <cacheField name="Day" numFmtId="0">
      <sharedItems count="7">
        <s v="Monday"/>
        <s v="Tuesday"/>
        <s v="Wednesday"/>
        <s v="Thursday"/>
        <s v="Friday"/>
        <s v="Saturday"/>
        <s v="Sunday"/>
      </sharedItems>
    </cacheField>
    <cacheField name="Week" numFmtId="164">
      <sharedItems count="9">
        <s v="Week 1"/>
        <s v="Week 2"/>
        <s v="Week 3"/>
        <s v="Week 4"/>
        <s v="Week 5"/>
        <s v="Week 6"/>
        <s v="Week 7"/>
        <s v="Week 8"/>
        <s v="Week -66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3">
  <r>
    <x v="0"/>
    <x v="0"/>
    <n v="6"/>
    <n v="270"/>
    <n v="253"/>
    <n v="102"/>
    <x v="0"/>
    <x v="0"/>
  </r>
  <r>
    <x v="0"/>
    <x v="1"/>
    <n v="1"/>
    <n v="1100"/>
    <n v="980"/>
    <n v="120"/>
    <x v="0"/>
    <x v="0"/>
  </r>
  <r>
    <x v="0"/>
    <x v="2"/>
    <n v="2"/>
    <n v="260"/>
    <n v="234"/>
    <n v="52"/>
    <x v="0"/>
    <x v="0"/>
  </r>
  <r>
    <x v="0"/>
    <x v="3"/>
    <n v="1"/>
    <n v="1300"/>
    <n v="1180"/>
    <n v="120"/>
    <x v="0"/>
    <x v="0"/>
  </r>
  <r>
    <x v="0"/>
    <x v="4"/>
    <n v="4"/>
    <n v="40"/>
    <n v="33"/>
    <n v="28"/>
    <x v="0"/>
    <x v="0"/>
  </r>
  <r>
    <x v="0"/>
    <x v="5"/>
    <n v="8"/>
    <n v="10"/>
    <n v="9.1"/>
    <n v="7.2000000000000028"/>
    <x v="0"/>
    <x v="0"/>
  </r>
  <r>
    <x v="0"/>
    <x v="6"/>
    <n v="1"/>
    <n v="350"/>
    <n v="280"/>
    <n v="70"/>
    <x v="0"/>
    <x v="0"/>
  </r>
  <r>
    <x v="0"/>
    <x v="7"/>
    <n v="6"/>
    <n v="60"/>
    <n v="51"/>
    <n v="54"/>
    <x v="0"/>
    <x v="0"/>
  </r>
  <r>
    <x v="0"/>
    <x v="8"/>
    <n v="3"/>
    <n v="60"/>
    <n v="57"/>
    <n v="9"/>
    <x v="0"/>
    <x v="0"/>
  </r>
  <r>
    <x v="1"/>
    <x v="9"/>
    <n v="6"/>
    <n v="550"/>
    <n v="523"/>
    <n v="162"/>
    <x v="1"/>
    <x v="0"/>
  </r>
  <r>
    <x v="1"/>
    <x v="10"/>
    <n v="6"/>
    <n v="90"/>
    <n v="78"/>
    <n v="72"/>
    <x v="1"/>
    <x v="0"/>
  </r>
  <r>
    <x v="1"/>
    <x v="11"/>
    <n v="4"/>
    <n v="110"/>
    <n v="89"/>
    <n v="84"/>
    <x v="1"/>
    <x v="0"/>
  </r>
  <r>
    <x v="1"/>
    <x v="12"/>
    <n v="2"/>
    <n v="140"/>
    <n v="125"/>
    <n v="30"/>
    <x v="1"/>
    <x v="0"/>
  </r>
  <r>
    <x v="1"/>
    <x v="13"/>
    <n v="2"/>
    <n v="35"/>
    <n v="28"/>
    <n v="14"/>
    <x v="1"/>
    <x v="0"/>
  </r>
  <r>
    <x v="1"/>
    <x v="7"/>
    <n v="3"/>
    <n v="60"/>
    <n v="51"/>
    <n v="27"/>
    <x v="1"/>
    <x v="0"/>
  </r>
  <r>
    <x v="1"/>
    <x v="14"/>
    <n v="7"/>
    <n v="10"/>
    <n v="8"/>
    <n v="14"/>
    <x v="1"/>
    <x v="0"/>
  </r>
  <r>
    <x v="1"/>
    <x v="15"/>
    <n v="2"/>
    <n v="700"/>
    <n v="560"/>
    <n v="280"/>
    <x v="1"/>
    <x v="0"/>
  </r>
  <r>
    <x v="2"/>
    <x v="16"/>
    <n v="2"/>
    <n v="330"/>
    <n v="297"/>
    <n v="66"/>
    <x v="2"/>
    <x v="0"/>
  </r>
  <r>
    <x v="2"/>
    <x v="17"/>
    <n v="5"/>
    <n v="50"/>
    <n v="39"/>
    <n v="55"/>
    <x v="2"/>
    <x v="0"/>
  </r>
  <r>
    <x v="2"/>
    <x v="18"/>
    <n v="6"/>
    <n v="60"/>
    <n v="52"/>
    <n v="48"/>
    <x v="2"/>
    <x v="0"/>
  </r>
  <r>
    <x v="2"/>
    <x v="19"/>
    <n v="2"/>
    <n v="110"/>
    <n v="92"/>
    <n v="36"/>
    <x v="2"/>
    <x v="0"/>
  </r>
  <r>
    <x v="2"/>
    <x v="13"/>
    <n v="2"/>
    <n v="35"/>
    <n v="28"/>
    <n v="14"/>
    <x v="2"/>
    <x v="0"/>
  </r>
  <r>
    <x v="2"/>
    <x v="20"/>
    <n v="6"/>
    <n v="20"/>
    <n v="16.5"/>
    <n v="21"/>
    <x v="2"/>
    <x v="0"/>
  </r>
  <r>
    <x v="2"/>
    <x v="21"/>
    <n v="2"/>
    <n v="50"/>
    <n v="34"/>
    <n v="32"/>
    <x v="2"/>
    <x v="0"/>
  </r>
  <r>
    <x v="3"/>
    <x v="22"/>
    <n v="2"/>
    <n v="70"/>
    <n v="46"/>
    <n v="48"/>
    <x v="3"/>
    <x v="0"/>
  </r>
  <r>
    <x v="3"/>
    <x v="23"/>
    <n v="2"/>
    <n v="110"/>
    <n v="63"/>
    <n v="94"/>
    <x v="3"/>
    <x v="0"/>
  </r>
  <r>
    <x v="3"/>
    <x v="24"/>
    <n v="2"/>
    <n v="1900"/>
    <n v="1772"/>
    <n v="256"/>
    <x v="3"/>
    <x v="0"/>
  </r>
  <r>
    <x v="3"/>
    <x v="25"/>
    <n v="2"/>
    <n v="90"/>
    <n v="71"/>
    <n v="38"/>
    <x v="3"/>
    <x v="0"/>
  </r>
  <r>
    <x v="3"/>
    <x v="26"/>
    <n v="4"/>
    <n v="120"/>
    <n v="96"/>
    <n v="96"/>
    <x v="3"/>
    <x v="0"/>
  </r>
  <r>
    <x v="3"/>
    <x v="27"/>
    <n v="2"/>
    <n v="40"/>
    <n v="27"/>
    <n v="26"/>
    <x v="3"/>
    <x v="0"/>
  </r>
  <r>
    <x v="4"/>
    <x v="0"/>
    <n v="8"/>
    <n v="270"/>
    <n v="253"/>
    <n v="136"/>
    <x v="4"/>
    <x v="0"/>
  </r>
  <r>
    <x v="4"/>
    <x v="28"/>
    <n v="15"/>
    <n v="30"/>
    <n v="23.5"/>
    <n v="97.5"/>
    <x v="4"/>
    <x v="0"/>
  </r>
  <r>
    <x v="4"/>
    <x v="29"/>
    <n v="8"/>
    <n v="25"/>
    <n v="22"/>
    <n v="24"/>
    <x v="4"/>
    <x v="0"/>
  </r>
  <r>
    <x v="4"/>
    <x v="30"/>
    <n v="2"/>
    <n v="160"/>
    <n v="122"/>
    <n v="76"/>
    <x v="4"/>
    <x v="0"/>
  </r>
  <r>
    <x v="4"/>
    <x v="31"/>
    <n v="20"/>
    <n v="4"/>
    <n v="1.6"/>
    <n v="48"/>
    <x v="4"/>
    <x v="0"/>
  </r>
  <r>
    <x v="4"/>
    <x v="32"/>
    <n v="1"/>
    <n v="1200"/>
    <n v="980"/>
    <n v="220"/>
    <x v="4"/>
    <x v="0"/>
  </r>
  <r>
    <x v="5"/>
    <x v="33"/>
    <n v="3"/>
    <n v="50"/>
    <n v="39.5"/>
    <n v="31.5"/>
    <x v="5"/>
    <x v="0"/>
  </r>
  <r>
    <x v="5"/>
    <x v="34"/>
    <n v="6"/>
    <n v="10"/>
    <n v="9.1"/>
    <n v="5.4000000000000021"/>
    <x v="5"/>
    <x v="0"/>
  </r>
  <r>
    <x v="5"/>
    <x v="35"/>
    <n v="2"/>
    <n v="110"/>
    <n v="73"/>
    <n v="74"/>
    <x v="5"/>
    <x v="0"/>
  </r>
  <r>
    <x v="5"/>
    <x v="36"/>
    <n v="3"/>
    <n v="130"/>
    <n v="112"/>
    <n v="54"/>
    <x v="5"/>
    <x v="0"/>
  </r>
  <r>
    <x v="5"/>
    <x v="7"/>
    <n v="5"/>
    <n v="60"/>
    <n v="51"/>
    <n v="45"/>
    <x v="5"/>
    <x v="0"/>
  </r>
  <r>
    <x v="5"/>
    <x v="34"/>
    <n v="15"/>
    <n v="10"/>
    <n v="9.1"/>
    <n v="13.500000000000005"/>
    <x v="5"/>
    <x v="0"/>
  </r>
  <r>
    <x v="5"/>
    <x v="15"/>
    <n v="2"/>
    <n v="420"/>
    <n v="370"/>
    <n v="100"/>
    <x v="5"/>
    <x v="0"/>
  </r>
  <r>
    <x v="5"/>
    <x v="4"/>
    <n v="6"/>
    <n v="20"/>
    <n v="14"/>
    <n v="36"/>
    <x v="5"/>
    <x v="0"/>
  </r>
  <r>
    <x v="5"/>
    <x v="37"/>
    <n v="1"/>
    <n v="380"/>
    <n v="340"/>
    <n v="40"/>
    <x v="5"/>
    <x v="0"/>
  </r>
  <r>
    <x v="6"/>
    <x v="3"/>
    <n v="2"/>
    <n v="1300"/>
    <n v="1125"/>
    <n v="350"/>
    <x v="6"/>
    <x v="0"/>
  </r>
  <r>
    <x v="6"/>
    <x v="8"/>
    <n v="1"/>
    <n v="60"/>
    <n v="57"/>
    <n v="3"/>
    <x v="6"/>
    <x v="0"/>
  </r>
  <r>
    <x v="6"/>
    <x v="38"/>
    <n v="1"/>
    <n v="60"/>
    <n v="40"/>
    <n v="20"/>
    <x v="6"/>
    <x v="0"/>
  </r>
  <r>
    <x v="6"/>
    <x v="39"/>
    <n v="1"/>
    <n v="120"/>
    <n v="77"/>
    <n v="43"/>
    <x v="6"/>
    <x v="0"/>
  </r>
  <r>
    <x v="6"/>
    <x v="40"/>
    <n v="1"/>
    <n v="150"/>
    <n v="114"/>
    <n v="36"/>
    <x v="6"/>
    <x v="0"/>
  </r>
  <r>
    <x v="6"/>
    <x v="41"/>
    <n v="1"/>
    <n v="550"/>
    <n v="480"/>
    <n v="70"/>
    <x v="6"/>
    <x v="0"/>
  </r>
  <r>
    <x v="6"/>
    <x v="42"/>
    <n v="2"/>
    <n v="36"/>
    <n v="27"/>
    <n v="18"/>
    <x v="6"/>
    <x v="0"/>
  </r>
  <r>
    <x v="6"/>
    <x v="43"/>
    <n v="4"/>
    <n v="5"/>
    <n v="2.2999999999999998"/>
    <n v="10.8"/>
    <x v="6"/>
    <x v="0"/>
  </r>
  <r>
    <x v="6"/>
    <x v="44"/>
    <n v="3"/>
    <n v="20"/>
    <n v="15.5"/>
    <n v="13.5"/>
    <x v="6"/>
    <x v="0"/>
  </r>
  <r>
    <x v="7"/>
    <x v="45"/>
    <n v="1"/>
    <n v="350"/>
    <n v="280"/>
    <n v="70"/>
    <x v="0"/>
    <x v="1"/>
  </r>
  <r>
    <x v="7"/>
    <x v="46"/>
    <n v="2"/>
    <n v="75"/>
    <n v="63.5"/>
    <n v="23"/>
    <x v="0"/>
    <x v="1"/>
  </r>
  <r>
    <x v="7"/>
    <x v="47"/>
    <n v="1"/>
    <n v="40"/>
    <n v="31"/>
    <n v="9"/>
    <x v="0"/>
    <x v="1"/>
  </r>
  <r>
    <x v="7"/>
    <x v="48"/>
    <n v="1"/>
    <n v="260"/>
    <n v="224"/>
    <n v="36"/>
    <x v="0"/>
    <x v="1"/>
  </r>
  <r>
    <x v="7"/>
    <x v="49"/>
    <n v="6"/>
    <n v="5"/>
    <n v="2.2999999999999998"/>
    <n v="16.200000000000003"/>
    <x v="0"/>
    <x v="1"/>
  </r>
  <r>
    <x v="7"/>
    <x v="11"/>
    <n v="3"/>
    <n v="100"/>
    <n v="89"/>
    <n v="33"/>
    <x v="0"/>
    <x v="1"/>
  </r>
  <r>
    <x v="7"/>
    <x v="9"/>
    <n v="2"/>
    <n v="540"/>
    <n v="493"/>
    <n v="94"/>
    <x v="0"/>
    <x v="1"/>
  </r>
  <r>
    <x v="7"/>
    <x v="12"/>
    <n v="1"/>
    <n v="180"/>
    <n v="154"/>
    <n v="26"/>
    <x v="0"/>
    <x v="1"/>
  </r>
  <r>
    <x v="7"/>
    <x v="50"/>
    <n v="1"/>
    <n v="60"/>
    <n v="41"/>
    <n v="19"/>
    <x v="0"/>
    <x v="1"/>
  </r>
  <r>
    <x v="8"/>
    <x v="0"/>
    <n v="2"/>
    <n v="275"/>
    <n v="255"/>
    <n v="40"/>
    <x v="1"/>
    <x v="1"/>
  </r>
  <r>
    <x v="8"/>
    <x v="28"/>
    <n v="6"/>
    <n v="30"/>
    <n v="23.5"/>
    <n v="39"/>
    <x v="1"/>
    <x v="1"/>
  </r>
  <r>
    <x v="8"/>
    <x v="29"/>
    <n v="4"/>
    <n v="25"/>
    <n v="22"/>
    <n v="12"/>
    <x v="1"/>
    <x v="1"/>
  </r>
  <r>
    <x v="8"/>
    <x v="2"/>
    <n v="2"/>
    <n v="240"/>
    <n v="197"/>
    <n v="86"/>
    <x v="1"/>
    <x v="1"/>
  </r>
  <r>
    <x v="8"/>
    <x v="51"/>
    <n v="2"/>
    <n v="170"/>
    <n v="152.6"/>
    <n v="34.800000000000011"/>
    <x v="1"/>
    <x v="1"/>
  </r>
  <r>
    <x v="8"/>
    <x v="52"/>
    <n v="8"/>
    <n v="15"/>
    <n v="12.5"/>
    <n v="20"/>
    <x v="1"/>
    <x v="1"/>
  </r>
  <r>
    <x v="8"/>
    <x v="53"/>
    <n v="2"/>
    <n v="60"/>
    <n v="50"/>
    <n v="20"/>
    <x v="1"/>
    <x v="1"/>
  </r>
  <r>
    <x v="8"/>
    <x v="54"/>
    <n v="1"/>
    <n v="220"/>
    <n v="180"/>
    <n v="40"/>
    <x v="1"/>
    <x v="1"/>
  </r>
  <r>
    <x v="8"/>
    <x v="55"/>
    <n v="15"/>
    <n v="4"/>
    <n v="1.6"/>
    <n v="36"/>
    <x v="1"/>
    <x v="1"/>
  </r>
  <r>
    <x v="9"/>
    <x v="56"/>
    <n v="3"/>
    <n v="320"/>
    <n v="295"/>
    <n v="75"/>
    <x v="2"/>
    <x v="1"/>
  </r>
  <r>
    <x v="9"/>
    <x v="57"/>
    <n v="1"/>
    <n v="400"/>
    <n v="330"/>
    <n v="70"/>
    <x v="2"/>
    <x v="1"/>
  </r>
  <r>
    <x v="9"/>
    <x v="58"/>
    <n v="3"/>
    <n v="800"/>
    <n v="710"/>
    <n v="270"/>
    <x v="2"/>
    <x v="1"/>
  </r>
  <r>
    <x v="9"/>
    <x v="59"/>
    <n v="12"/>
    <n v="10"/>
    <n v="9.1"/>
    <n v="10.800000000000004"/>
    <x v="2"/>
    <x v="1"/>
  </r>
  <r>
    <x v="9"/>
    <x v="60"/>
    <n v="10"/>
    <n v="10"/>
    <n v="7"/>
    <n v="30"/>
    <x v="2"/>
    <x v="1"/>
  </r>
  <r>
    <x v="9"/>
    <x v="61"/>
    <n v="2"/>
    <n v="140"/>
    <n v="105"/>
    <n v="70"/>
    <x v="2"/>
    <x v="1"/>
  </r>
  <r>
    <x v="9"/>
    <x v="62"/>
    <n v="2"/>
    <n v="260"/>
    <n v="219"/>
    <n v="82"/>
    <x v="2"/>
    <x v="1"/>
  </r>
  <r>
    <x v="10"/>
    <x v="51"/>
    <n v="8"/>
    <n v="168"/>
    <n v="152.6"/>
    <n v="123.20000000000005"/>
    <x v="3"/>
    <x v="1"/>
  </r>
  <r>
    <x v="10"/>
    <x v="52"/>
    <n v="15"/>
    <n v="14.5"/>
    <n v="12.5"/>
    <n v="30"/>
    <x v="3"/>
    <x v="1"/>
  </r>
  <r>
    <x v="10"/>
    <x v="63"/>
    <n v="4"/>
    <n v="60"/>
    <n v="52"/>
    <n v="32"/>
    <x v="3"/>
    <x v="1"/>
  </r>
  <r>
    <x v="10"/>
    <x v="64"/>
    <n v="2"/>
    <n v="20"/>
    <n v="13"/>
    <n v="14"/>
    <x v="3"/>
    <x v="1"/>
  </r>
  <r>
    <x v="10"/>
    <x v="65"/>
    <n v="2"/>
    <n v="40"/>
    <n v="31.5"/>
    <n v="17"/>
    <x v="3"/>
    <x v="1"/>
  </r>
  <r>
    <x v="10"/>
    <x v="66"/>
    <n v="2"/>
    <n v="90"/>
    <n v="75"/>
    <n v="30"/>
    <x v="3"/>
    <x v="1"/>
  </r>
  <r>
    <x v="10"/>
    <x v="67"/>
    <n v="1"/>
    <n v="110"/>
    <n v="92"/>
    <n v="18"/>
    <x v="3"/>
    <x v="1"/>
  </r>
  <r>
    <x v="10"/>
    <x v="2"/>
    <n v="1"/>
    <n v="235"/>
    <n v="197"/>
    <n v="38"/>
    <x v="3"/>
    <x v="1"/>
  </r>
  <r>
    <x v="10"/>
    <x v="54"/>
    <n v="1"/>
    <n v="220"/>
    <n v="180"/>
    <n v="40"/>
    <x v="3"/>
    <x v="1"/>
  </r>
  <r>
    <x v="10"/>
    <x v="60"/>
    <n v="10"/>
    <n v="10"/>
    <n v="7"/>
    <n v="30"/>
    <x v="3"/>
    <x v="1"/>
  </r>
  <r>
    <x v="10"/>
    <x v="59"/>
    <n v="4"/>
    <n v="10"/>
    <n v="9.1999999999999993"/>
    <n v="3.2000000000000028"/>
    <x v="3"/>
    <x v="1"/>
  </r>
  <r>
    <x v="10"/>
    <x v="55"/>
    <n v="24"/>
    <n v="3.5"/>
    <n v="1.6"/>
    <n v="45.599999999999994"/>
    <x v="3"/>
    <x v="1"/>
  </r>
  <r>
    <x v="11"/>
    <x v="16"/>
    <n v="2"/>
    <n v="325"/>
    <n v="297"/>
    <n v="56"/>
    <x v="4"/>
    <x v="1"/>
  </r>
  <r>
    <x v="11"/>
    <x v="18"/>
    <n v="6"/>
    <n v="60"/>
    <n v="49"/>
    <n v="66"/>
    <x v="4"/>
    <x v="1"/>
  </r>
  <r>
    <x v="11"/>
    <x v="68"/>
    <n v="2"/>
    <n v="160"/>
    <n v="143"/>
    <n v="34"/>
    <x v="4"/>
    <x v="1"/>
  </r>
  <r>
    <x v="11"/>
    <x v="69"/>
    <n v="2"/>
    <n v="60"/>
    <n v="47.5"/>
    <n v="25"/>
    <x v="4"/>
    <x v="1"/>
  </r>
  <r>
    <x v="11"/>
    <x v="70"/>
    <n v="2"/>
    <n v="40"/>
    <n v="22"/>
    <n v="36"/>
    <x v="4"/>
    <x v="1"/>
  </r>
  <r>
    <x v="11"/>
    <x v="71"/>
    <n v="2"/>
    <n v="130"/>
    <n v="93"/>
    <n v="74"/>
    <x v="4"/>
    <x v="1"/>
  </r>
  <r>
    <x v="11"/>
    <x v="34"/>
    <n v="12"/>
    <n v="15"/>
    <n v="9.6"/>
    <n v="64.800000000000011"/>
    <x v="4"/>
    <x v="1"/>
  </r>
  <r>
    <x v="11"/>
    <x v="33"/>
    <n v="7"/>
    <n v="50"/>
    <n v="36.5"/>
    <n v="94.5"/>
    <x v="4"/>
    <x v="1"/>
  </r>
  <r>
    <x v="12"/>
    <x v="72"/>
    <n v="1"/>
    <n v="1100"/>
    <n v="980"/>
    <n v="120"/>
    <x v="5"/>
    <x v="1"/>
  </r>
  <r>
    <x v="12"/>
    <x v="9"/>
    <n v="4"/>
    <n v="550"/>
    <n v="523.5"/>
    <n v="106"/>
    <x v="5"/>
    <x v="1"/>
  </r>
  <r>
    <x v="12"/>
    <x v="73"/>
    <n v="1"/>
    <n v="380"/>
    <n v="335"/>
    <n v="45"/>
    <x v="5"/>
    <x v="1"/>
  </r>
  <r>
    <x v="12"/>
    <x v="74"/>
    <n v="1"/>
    <n v="50"/>
    <n v="22"/>
    <n v="28"/>
    <x v="5"/>
    <x v="1"/>
  </r>
  <r>
    <x v="12"/>
    <x v="75"/>
    <n v="1"/>
    <n v="60"/>
    <n v="46"/>
    <n v="14"/>
    <x v="5"/>
    <x v="1"/>
  </r>
  <r>
    <x v="12"/>
    <x v="7"/>
    <n v="5"/>
    <n v="60"/>
    <n v="42"/>
    <n v="90"/>
    <x v="5"/>
    <x v="1"/>
  </r>
  <r>
    <x v="12"/>
    <x v="8"/>
    <n v="1"/>
    <n v="60"/>
    <n v="47.5"/>
    <n v="12.5"/>
    <x v="5"/>
    <x v="1"/>
  </r>
  <r>
    <x v="12"/>
    <x v="76"/>
    <n v="1"/>
    <n v="140"/>
    <n v="98"/>
    <n v="42"/>
    <x v="5"/>
    <x v="1"/>
  </r>
  <r>
    <x v="13"/>
    <x v="15"/>
    <n v="1"/>
    <n v="450"/>
    <n v="376"/>
    <n v="74"/>
    <x v="6"/>
    <x v="1"/>
  </r>
  <r>
    <x v="13"/>
    <x v="0"/>
    <n v="5"/>
    <n v="280"/>
    <n v="255"/>
    <n v="125"/>
    <x v="6"/>
    <x v="1"/>
  </r>
  <r>
    <x v="13"/>
    <x v="66"/>
    <n v="1"/>
    <n v="120"/>
    <n v="88"/>
    <n v="32"/>
    <x v="6"/>
    <x v="1"/>
  </r>
  <r>
    <x v="13"/>
    <x v="2"/>
    <n v="1"/>
    <n v="240"/>
    <n v="215"/>
    <n v="25"/>
    <x v="6"/>
    <x v="1"/>
  </r>
  <r>
    <x v="13"/>
    <x v="77"/>
    <n v="2"/>
    <n v="45"/>
    <n v="36.9"/>
    <n v="16.200000000000003"/>
    <x v="6"/>
    <x v="1"/>
  </r>
  <r>
    <x v="13"/>
    <x v="75"/>
    <n v="1"/>
    <n v="90"/>
    <n v="65"/>
    <n v="25"/>
    <x v="6"/>
    <x v="1"/>
  </r>
  <r>
    <x v="13"/>
    <x v="78"/>
    <n v="1"/>
    <n v="1600"/>
    <n v="1440"/>
    <n v="160"/>
    <x v="6"/>
    <x v="1"/>
  </r>
  <r>
    <x v="13"/>
    <x v="79"/>
    <n v="3"/>
    <n v="15"/>
    <n v="9.8000000000000007"/>
    <n v="15.599999999999998"/>
    <x v="6"/>
    <x v="1"/>
  </r>
  <r>
    <x v="13"/>
    <x v="80"/>
    <n v="5"/>
    <n v="15"/>
    <n v="11"/>
    <n v="20"/>
    <x v="6"/>
    <x v="1"/>
  </r>
  <r>
    <x v="14"/>
    <x v="51"/>
    <n v="10"/>
    <n v="170"/>
    <n v="152.5"/>
    <n v="175"/>
    <x v="0"/>
    <x v="2"/>
  </r>
  <r>
    <x v="14"/>
    <x v="81"/>
    <n v="12"/>
    <n v="10"/>
    <n v="6.5"/>
    <n v="42"/>
    <x v="0"/>
    <x v="2"/>
  </r>
  <r>
    <x v="14"/>
    <x v="52"/>
    <n v="5"/>
    <n v="15"/>
    <n v="12.5"/>
    <n v="12.5"/>
    <x v="0"/>
    <x v="2"/>
  </r>
  <r>
    <x v="14"/>
    <x v="82"/>
    <n v="1"/>
    <n v="380"/>
    <n v="342"/>
    <n v="38"/>
    <x v="0"/>
    <x v="2"/>
  </r>
  <r>
    <x v="14"/>
    <x v="63"/>
    <n v="1"/>
    <n v="65"/>
    <n v="51"/>
    <n v="14"/>
    <x v="0"/>
    <x v="2"/>
  </r>
  <r>
    <x v="14"/>
    <x v="83"/>
    <n v="1"/>
    <n v="55"/>
    <n v="46"/>
    <n v="9"/>
    <x v="0"/>
    <x v="2"/>
  </r>
  <r>
    <x v="14"/>
    <x v="7"/>
    <n v="1"/>
    <n v="60"/>
    <n v="38"/>
    <n v="22"/>
    <x v="0"/>
    <x v="2"/>
  </r>
  <r>
    <x v="14"/>
    <x v="54"/>
    <n v="1"/>
    <n v="220"/>
    <n v="180"/>
    <n v="40"/>
    <x v="0"/>
    <x v="2"/>
  </r>
  <r>
    <x v="14"/>
    <x v="84"/>
    <n v="1"/>
    <n v="5600"/>
    <n v="5400"/>
    <n v="200"/>
    <x v="0"/>
    <x v="2"/>
  </r>
  <r>
    <x v="15"/>
    <x v="24"/>
    <n v="1"/>
    <n v="2600"/>
    <n v="2350"/>
    <n v="250"/>
    <x v="1"/>
    <x v="2"/>
  </r>
  <r>
    <x v="15"/>
    <x v="85"/>
    <n v="1"/>
    <n v="230"/>
    <n v="177"/>
    <n v="53"/>
    <x v="1"/>
    <x v="2"/>
  </r>
  <r>
    <x v="15"/>
    <x v="22"/>
    <n v="1"/>
    <n v="90"/>
    <n v="72"/>
    <n v="18"/>
    <x v="1"/>
    <x v="2"/>
  </r>
  <r>
    <x v="15"/>
    <x v="61"/>
    <n v="1"/>
    <n v="110"/>
    <n v="80"/>
    <n v="30"/>
    <x v="1"/>
    <x v="2"/>
  </r>
  <r>
    <x v="15"/>
    <x v="86"/>
    <n v="1"/>
    <n v="60"/>
    <n v="38"/>
    <n v="22"/>
    <x v="1"/>
    <x v="2"/>
  </r>
  <r>
    <x v="15"/>
    <x v="25"/>
    <n v="1"/>
    <n v="70"/>
    <n v="52"/>
    <n v="18"/>
    <x v="1"/>
    <x v="2"/>
  </r>
  <r>
    <x v="15"/>
    <x v="27"/>
    <n v="1"/>
    <n v="40"/>
    <n v="33"/>
    <n v="7"/>
    <x v="1"/>
    <x v="2"/>
  </r>
  <r>
    <x v="15"/>
    <x v="26"/>
    <n v="2"/>
    <n v="120"/>
    <n v="84"/>
    <n v="72"/>
    <x v="1"/>
    <x v="2"/>
  </r>
  <r>
    <x v="15"/>
    <x v="87"/>
    <n v="1"/>
    <n v="80"/>
    <n v="56"/>
    <n v="24"/>
    <x v="1"/>
    <x v="2"/>
  </r>
  <r>
    <x v="16"/>
    <x v="16"/>
    <n v="6"/>
    <n v="330"/>
    <n v="302"/>
    <n v="168"/>
    <x v="2"/>
    <x v="2"/>
  </r>
  <r>
    <x v="16"/>
    <x v="20"/>
    <n v="10"/>
    <n v="20"/>
    <n v="16.5"/>
    <n v="35"/>
    <x v="2"/>
    <x v="2"/>
  </r>
  <r>
    <x v="16"/>
    <x v="70"/>
    <n v="4"/>
    <n v="30"/>
    <n v="18"/>
    <n v="48"/>
    <x v="2"/>
    <x v="2"/>
  </r>
  <r>
    <x v="16"/>
    <x v="71"/>
    <n v="1"/>
    <n v="140"/>
    <n v="112"/>
    <n v="28"/>
    <x v="2"/>
    <x v="2"/>
  </r>
  <r>
    <x v="16"/>
    <x v="51"/>
    <n v="2"/>
    <n v="175"/>
    <n v="152.5"/>
    <n v="45"/>
    <x v="2"/>
    <x v="2"/>
  </r>
  <r>
    <x v="16"/>
    <x v="52"/>
    <n v="5"/>
    <n v="15"/>
    <n v="12.5"/>
    <n v="12.5"/>
    <x v="2"/>
    <x v="2"/>
  </r>
  <r>
    <x v="16"/>
    <x v="63"/>
    <n v="1"/>
    <n v="70"/>
    <n v="51"/>
    <n v="19"/>
    <x v="2"/>
    <x v="2"/>
  </r>
  <r>
    <x v="16"/>
    <x v="7"/>
    <n v="1"/>
    <n v="60"/>
    <n v="38"/>
    <n v="22"/>
    <x v="2"/>
    <x v="2"/>
  </r>
  <r>
    <x v="17"/>
    <x v="88"/>
    <n v="3"/>
    <n v="1350"/>
    <n v="1265"/>
    <n v="255"/>
    <x v="3"/>
    <x v="2"/>
  </r>
  <r>
    <x v="17"/>
    <x v="89"/>
    <n v="5"/>
    <n v="490"/>
    <n v="456"/>
    <n v="170"/>
    <x v="3"/>
    <x v="2"/>
  </r>
  <r>
    <x v="17"/>
    <x v="90"/>
    <n v="10"/>
    <n v="50"/>
    <n v="37"/>
    <n v="130"/>
    <x v="3"/>
    <x v="2"/>
  </r>
  <r>
    <x v="17"/>
    <x v="91"/>
    <n v="1"/>
    <n v="800"/>
    <n v="670"/>
    <n v="130"/>
    <x v="3"/>
    <x v="2"/>
  </r>
  <r>
    <x v="17"/>
    <x v="72"/>
    <n v="1"/>
    <n v="1200"/>
    <n v="1050"/>
    <n v="150"/>
    <x v="3"/>
    <x v="2"/>
  </r>
  <r>
    <x v="17"/>
    <x v="54"/>
    <n v="1"/>
    <n v="160"/>
    <n v="140"/>
    <n v="20"/>
    <x v="3"/>
    <x v="2"/>
  </r>
  <r>
    <x v="18"/>
    <x v="9"/>
    <n v="4"/>
    <n v="550"/>
    <n v="523"/>
    <n v="108"/>
    <x v="4"/>
    <x v="2"/>
  </r>
  <r>
    <x v="18"/>
    <x v="10"/>
    <n v="3"/>
    <n v="90"/>
    <n v="78"/>
    <n v="36"/>
    <x v="4"/>
    <x v="2"/>
  </r>
  <r>
    <x v="18"/>
    <x v="11"/>
    <n v="8"/>
    <n v="110"/>
    <n v="89"/>
    <n v="168"/>
    <x v="4"/>
    <x v="2"/>
  </r>
  <r>
    <x v="18"/>
    <x v="92"/>
    <n v="1"/>
    <n v="160"/>
    <n v="144"/>
    <n v="16"/>
    <x v="4"/>
    <x v="2"/>
  </r>
  <r>
    <x v="18"/>
    <x v="13"/>
    <n v="2"/>
    <n v="35"/>
    <n v="28"/>
    <n v="14"/>
    <x v="4"/>
    <x v="2"/>
  </r>
  <r>
    <x v="18"/>
    <x v="93"/>
    <n v="1"/>
    <n v="110"/>
    <n v="89"/>
    <n v="21"/>
    <x v="4"/>
    <x v="2"/>
  </r>
  <r>
    <x v="18"/>
    <x v="34"/>
    <n v="6"/>
    <n v="10"/>
    <n v="9.1"/>
    <n v="5.4000000000000021"/>
    <x v="4"/>
    <x v="2"/>
  </r>
  <r>
    <x v="18"/>
    <x v="94"/>
    <n v="12"/>
    <n v="25"/>
    <n v="18"/>
    <n v="84"/>
    <x v="4"/>
    <x v="2"/>
  </r>
  <r>
    <x v="19"/>
    <x v="95"/>
    <n v="3"/>
    <n v="750"/>
    <n v="660"/>
    <n v="270"/>
    <x v="5"/>
    <x v="2"/>
  </r>
  <r>
    <x v="19"/>
    <x v="46"/>
    <n v="6"/>
    <n v="70"/>
    <n v="54.5"/>
    <n v="93"/>
    <x v="5"/>
    <x v="2"/>
  </r>
  <r>
    <x v="19"/>
    <x v="59"/>
    <n v="20"/>
    <n v="10"/>
    <n v="8"/>
    <n v="40"/>
    <x v="5"/>
    <x v="2"/>
  </r>
  <r>
    <x v="19"/>
    <x v="96"/>
    <n v="1"/>
    <n v="1080"/>
    <n v="870"/>
    <n v="210"/>
    <x v="5"/>
    <x v="2"/>
  </r>
  <r>
    <x v="19"/>
    <x v="7"/>
    <n v="8"/>
    <n v="60"/>
    <n v="38"/>
    <n v="176"/>
    <x v="5"/>
    <x v="2"/>
  </r>
  <r>
    <x v="19"/>
    <x v="85"/>
    <n v="1"/>
    <n v="230"/>
    <n v="176"/>
    <n v="54"/>
    <x v="5"/>
    <x v="2"/>
  </r>
  <r>
    <x v="19"/>
    <x v="97"/>
    <n v="1"/>
    <n v="220"/>
    <n v="160"/>
    <n v="60"/>
    <x v="5"/>
    <x v="2"/>
  </r>
  <r>
    <x v="20"/>
    <x v="32"/>
    <n v="1"/>
    <n v="1300"/>
    <n v="1172"/>
    <n v="128"/>
    <x v="6"/>
    <x v="2"/>
  </r>
  <r>
    <x v="20"/>
    <x v="9"/>
    <n v="4"/>
    <n v="550"/>
    <n v="525"/>
    <n v="100"/>
    <x v="6"/>
    <x v="2"/>
  </r>
  <r>
    <x v="20"/>
    <x v="73"/>
    <n v="1"/>
    <n v="380"/>
    <n v="335"/>
    <n v="45"/>
    <x v="6"/>
    <x v="2"/>
  </r>
  <r>
    <x v="20"/>
    <x v="74"/>
    <n v="1"/>
    <n v="50"/>
    <n v="22"/>
    <n v="28"/>
    <x v="6"/>
    <x v="2"/>
  </r>
  <r>
    <x v="20"/>
    <x v="98"/>
    <n v="1"/>
    <n v="90"/>
    <n v="75"/>
    <n v="15"/>
    <x v="6"/>
    <x v="2"/>
  </r>
  <r>
    <x v="20"/>
    <x v="92"/>
    <n v="2"/>
    <n v="160"/>
    <n v="144"/>
    <n v="32"/>
    <x v="6"/>
    <x v="2"/>
  </r>
  <r>
    <x v="20"/>
    <x v="93"/>
    <n v="2"/>
    <n v="110"/>
    <n v="89"/>
    <n v="42"/>
    <x v="6"/>
    <x v="2"/>
  </r>
  <r>
    <x v="20"/>
    <x v="54"/>
    <n v="1"/>
    <n v="165"/>
    <n v="140"/>
    <n v="25"/>
    <x v="6"/>
    <x v="2"/>
  </r>
  <r>
    <x v="21"/>
    <x v="99"/>
    <n v="2"/>
    <n v="540"/>
    <n v="480"/>
    <n v="120"/>
    <x v="0"/>
    <x v="3"/>
  </r>
  <r>
    <x v="21"/>
    <x v="65"/>
    <n v="2"/>
    <n v="40"/>
    <n v="44.5"/>
    <n v="-9"/>
    <x v="0"/>
    <x v="3"/>
  </r>
  <r>
    <x v="21"/>
    <x v="100"/>
    <n v="2"/>
    <n v="25"/>
    <n v="21"/>
    <n v="8"/>
    <x v="0"/>
    <x v="3"/>
  </r>
  <r>
    <x v="21"/>
    <x v="4"/>
    <n v="1"/>
    <n v="20"/>
    <n v="14"/>
    <n v="6"/>
    <x v="0"/>
    <x v="3"/>
  </r>
  <r>
    <x v="21"/>
    <x v="51"/>
    <n v="6"/>
    <n v="180"/>
    <n v="167"/>
    <n v="78"/>
    <x v="0"/>
    <x v="3"/>
  </r>
  <r>
    <x v="21"/>
    <x v="101"/>
    <n v="12"/>
    <n v="15"/>
    <n v="12.5"/>
    <n v="30"/>
    <x v="0"/>
    <x v="3"/>
  </r>
  <r>
    <x v="21"/>
    <x v="81"/>
    <n v="6"/>
    <n v="10"/>
    <n v="8.4"/>
    <n v="9.5999999999999979"/>
    <x v="0"/>
    <x v="3"/>
  </r>
  <r>
    <x v="21"/>
    <x v="102"/>
    <n v="2"/>
    <n v="40"/>
    <n v="31"/>
    <n v="18"/>
    <x v="0"/>
    <x v="3"/>
  </r>
  <r>
    <x v="22"/>
    <x v="82"/>
    <n v="1"/>
    <n v="310"/>
    <n v="269"/>
    <n v="41"/>
    <x v="1"/>
    <x v="3"/>
  </r>
  <r>
    <x v="22"/>
    <x v="103"/>
    <n v="1"/>
    <n v="60"/>
    <n v="51"/>
    <n v="9"/>
    <x v="1"/>
    <x v="3"/>
  </r>
  <r>
    <x v="22"/>
    <x v="99"/>
    <n v="1"/>
    <n v="550"/>
    <n v="480"/>
    <n v="70"/>
    <x v="1"/>
    <x v="3"/>
  </r>
  <r>
    <x v="22"/>
    <x v="16"/>
    <n v="3"/>
    <n v="325"/>
    <n v="297"/>
    <n v="84"/>
    <x v="1"/>
    <x v="3"/>
  </r>
  <r>
    <x v="22"/>
    <x v="69"/>
    <n v="6"/>
    <n v="60"/>
    <n v="51"/>
    <n v="54"/>
    <x v="1"/>
    <x v="3"/>
  </r>
  <r>
    <x v="22"/>
    <x v="68"/>
    <n v="6"/>
    <n v="170"/>
    <n v="145"/>
    <n v="150"/>
    <x v="1"/>
    <x v="3"/>
  </r>
  <r>
    <x v="22"/>
    <x v="30"/>
    <n v="1"/>
    <n v="60"/>
    <n v="47"/>
    <n v="13"/>
    <x v="1"/>
    <x v="3"/>
  </r>
  <r>
    <x v="22"/>
    <x v="78"/>
    <n v="1"/>
    <n v="1650"/>
    <n v="1376"/>
    <n v="274"/>
    <x v="1"/>
    <x v="3"/>
  </r>
  <r>
    <x v="22"/>
    <x v="79"/>
    <n v="4"/>
    <n v="10"/>
    <n v="8.3000000000000007"/>
    <n v="6.7999999999999972"/>
    <x v="1"/>
    <x v="3"/>
  </r>
  <r>
    <x v="22"/>
    <x v="104"/>
    <n v="12"/>
    <n v="10"/>
    <n v="8"/>
    <n v="24"/>
    <x v="1"/>
    <x v="3"/>
  </r>
  <r>
    <x v="22"/>
    <x v="51"/>
    <n v="2"/>
    <n v="180"/>
    <n v="163"/>
    <n v="34"/>
    <x v="1"/>
    <x v="3"/>
  </r>
  <r>
    <x v="22"/>
    <x v="7"/>
    <n v="2"/>
    <n v="50"/>
    <n v="32"/>
    <n v="36"/>
    <x v="1"/>
    <x v="3"/>
  </r>
  <r>
    <x v="23"/>
    <x v="105"/>
    <n v="1"/>
    <n v="6800"/>
    <n v="6350"/>
    <n v="450"/>
    <x v="2"/>
    <x v="3"/>
  </r>
  <r>
    <x v="23"/>
    <x v="51"/>
    <n v="20"/>
    <n v="175"/>
    <n v="167"/>
    <n v="160"/>
    <x v="2"/>
    <x v="3"/>
  </r>
  <r>
    <x v="23"/>
    <x v="81"/>
    <n v="20"/>
    <n v="14"/>
    <n v="12.5"/>
    <n v="30"/>
    <x v="2"/>
    <x v="3"/>
  </r>
  <r>
    <x v="23"/>
    <x v="65"/>
    <n v="2"/>
    <n v="40"/>
    <n v="33.5"/>
    <n v="13"/>
    <x v="2"/>
    <x v="3"/>
  </r>
  <r>
    <x v="23"/>
    <x v="100"/>
    <n v="2"/>
    <n v="25"/>
    <n v="21"/>
    <n v="8"/>
    <x v="2"/>
    <x v="3"/>
  </r>
  <r>
    <x v="23"/>
    <x v="52"/>
    <n v="8"/>
    <n v="15"/>
    <n v="12.5"/>
    <n v="20"/>
    <x v="2"/>
    <x v="3"/>
  </r>
  <r>
    <x v="23"/>
    <x v="103"/>
    <n v="3"/>
    <n v="60"/>
    <n v="48"/>
    <n v="36"/>
    <x v="2"/>
    <x v="3"/>
  </r>
  <r>
    <x v="23"/>
    <x v="82"/>
    <n v="1"/>
    <n v="300"/>
    <n v="269"/>
    <n v="31"/>
    <x v="2"/>
    <x v="3"/>
  </r>
  <r>
    <x v="23"/>
    <x v="75"/>
    <n v="4"/>
    <n v="110"/>
    <n v="88"/>
    <n v="88"/>
    <x v="2"/>
    <x v="3"/>
  </r>
  <r>
    <x v="23"/>
    <x v="106"/>
    <n v="50"/>
    <n v="10"/>
    <n v="8.3000000000000007"/>
    <n v="84.999999999999972"/>
    <x v="2"/>
    <x v="3"/>
  </r>
  <r>
    <x v="23"/>
    <x v="7"/>
    <n v="2"/>
    <n v="60"/>
    <n v="42"/>
    <n v="36"/>
    <x v="2"/>
    <x v="3"/>
  </r>
  <r>
    <x v="24"/>
    <x v="107"/>
    <n v="2"/>
    <n v="50"/>
    <n v="37"/>
    <n v="26"/>
    <x v="3"/>
    <x v="3"/>
  </r>
  <r>
    <x v="24"/>
    <x v="34"/>
    <n v="3"/>
    <n v="110"/>
    <n v="90"/>
    <n v="60"/>
    <x v="3"/>
    <x v="3"/>
  </r>
  <r>
    <x v="24"/>
    <x v="14"/>
    <n v="5"/>
    <n v="10"/>
    <n v="9.1"/>
    <n v="4.5000000000000018"/>
    <x v="3"/>
    <x v="3"/>
  </r>
  <r>
    <x v="24"/>
    <x v="16"/>
    <n v="1"/>
    <n v="325"/>
    <n v="297"/>
    <n v="28"/>
    <x v="3"/>
    <x v="3"/>
  </r>
  <r>
    <x v="24"/>
    <x v="17"/>
    <n v="1"/>
    <n v="90"/>
    <n v="78"/>
    <n v="12"/>
    <x v="3"/>
    <x v="3"/>
  </r>
  <r>
    <x v="24"/>
    <x v="4"/>
    <n v="1"/>
    <n v="20"/>
    <n v="14"/>
    <n v="6"/>
    <x v="3"/>
    <x v="3"/>
  </r>
  <r>
    <x v="24"/>
    <x v="45"/>
    <n v="2"/>
    <n v="360"/>
    <n v="332"/>
    <n v="56"/>
    <x v="3"/>
    <x v="3"/>
  </r>
  <r>
    <x v="25"/>
    <x v="51"/>
    <n v="5"/>
    <n v="185"/>
    <n v="164"/>
    <n v="105"/>
    <x v="4"/>
    <x v="3"/>
  </r>
  <r>
    <x v="25"/>
    <x v="52"/>
    <n v="12"/>
    <n v="15"/>
    <n v="12.5"/>
    <n v="30"/>
    <x v="4"/>
    <x v="3"/>
  </r>
  <r>
    <x v="25"/>
    <x v="108"/>
    <n v="1"/>
    <n v="530"/>
    <n v="466"/>
    <n v="64"/>
    <x v="4"/>
    <x v="3"/>
  </r>
  <r>
    <x v="25"/>
    <x v="109"/>
    <n v="1"/>
    <n v="125"/>
    <n v="99"/>
    <n v="26"/>
    <x v="4"/>
    <x v="3"/>
  </r>
  <r>
    <x v="25"/>
    <x v="75"/>
    <n v="1"/>
    <n v="110"/>
    <n v="88"/>
    <n v="22"/>
    <x v="4"/>
    <x v="3"/>
  </r>
  <r>
    <x v="25"/>
    <x v="16"/>
    <n v="2"/>
    <n v="325"/>
    <n v="297"/>
    <n v="56"/>
    <x v="4"/>
    <x v="3"/>
  </r>
  <r>
    <x v="25"/>
    <x v="68"/>
    <n v="2"/>
    <n v="170"/>
    <n v="145"/>
    <n v="50"/>
    <x v="4"/>
    <x v="3"/>
  </r>
  <r>
    <x v="25"/>
    <x v="69"/>
    <n v="2"/>
    <n v="60"/>
    <n v="51"/>
    <n v="18"/>
    <x v="4"/>
    <x v="3"/>
  </r>
  <r>
    <x v="25"/>
    <x v="70"/>
    <n v="2"/>
    <n v="30"/>
    <n v="23"/>
    <n v="14"/>
    <x v="4"/>
    <x v="3"/>
  </r>
  <r>
    <x v="25"/>
    <x v="102"/>
    <n v="1"/>
    <n v="60"/>
    <n v="51"/>
    <n v="9"/>
    <x v="4"/>
    <x v="3"/>
  </r>
  <r>
    <x v="26"/>
    <x v="0"/>
    <n v="15"/>
    <n v="270"/>
    <n v="253"/>
    <n v="255"/>
    <x v="5"/>
    <x v="3"/>
  </r>
  <r>
    <x v="26"/>
    <x v="29"/>
    <n v="15"/>
    <n v="22"/>
    <n v="19.5"/>
    <n v="37.5"/>
    <x v="5"/>
    <x v="3"/>
  </r>
  <r>
    <x v="26"/>
    <x v="28"/>
    <n v="32"/>
    <n v="30"/>
    <n v="26"/>
    <n v="128"/>
    <x v="5"/>
    <x v="3"/>
  </r>
  <r>
    <x v="26"/>
    <x v="110"/>
    <n v="2"/>
    <n v="45"/>
    <n v="38"/>
    <n v="14"/>
    <x v="5"/>
    <x v="3"/>
  </r>
  <r>
    <x v="26"/>
    <x v="111"/>
    <n v="2"/>
    <n v="40"/>
    <n v="36"/>
    <n v="8"/>
    <x v="5"/>
    <x v="3"/>
  </r>
  <r>
    <x v="26"/>
    <x v="112"/>
    <n v="2"/>
    <n v="36"/>
    <n v="29"/>
    <n v="14"/>
    <x v="5"/>
    <x v="3"/>
  </r>
  <r>
    <x v="26"/>
    <x v="113"/>
    <n v="6"/>
    <n v="120"/>
    <n v="89"/>
    <n v="186"/>
    <x v="5"/>
    <x v="3"/>
  </r>
  <r>
    <x v="26"/>
    <x v="114"/>
    <n v="4"/>
    <n v="135"/>
    <n v="110"/>
    <n v="100"/>
    <x v="5"/>
    <x v="3"/>
  </r>
  <r>
    <x v="26"/>
    <x v="75"/>
    <n v="4"/>
    <n v="110"/>
    <n v="89"/>
    <n v="84"/>
    <x v="5"/>
    <x v="3"/>
  </r>
  <r>
    <x v="26"/>
    <x v="60"/>
    <n v="20"/>
    <n v="10"/>
    <n v="4.5"/>
    <n v="110"/>
    <x v="5"/>
    <x v="3"/>
  </r>
  <r>
    <x v="27"/>
    <x v="9"/>
    <n v="3"/>
    <n v="570"/>
    <n v="523"/>
    <n v="141"/>
    <x v="6"/>
    <x v="3"/>
  </r>
  <r>
    <x v="27"/>
    <x v="11"/>
    <n v="6"/>
    <n v="110"/>
    <n v="89"/>
    <n v="126"/>
    <x v="6"/>
    <x v="3"/>
  </r>
  <r>
    <x v="27"/>
    <x v="12"/>
    <n v="3"/>
    <n v="190"/>
    <n v="164"/>
    <n v="78"/>
    <x v="6"/>
    <x v="3"/>
  </r>
  <r>
    <x v="27"/>
    <x v="13"/>
    <n v="1"/>
    <n v="110"/>
    <n v="98"/>
    <n v="12"/>
    <x v="6"/>
    <x v="3"/>
  </r>
  <r>
    <x v="27"/>
    <x v="5"/>
    <n v="8"/>
    <n v="10"/>
    <n v="9.1999999999999993"/>
    <n v="6.4000000000000057"/>
    <x v="6"/>
    <x v="3"/>
  </r>
  <r>
    <x v="27"/>
    <x v="115"/>
    <n v="1"/>
    <n v="580"/>
    <n v="442"/>
    <n v="138"/>
    <x v="6"/>
    <x v="3"/>
  </r>
  <r>
    <x v="27"/>
    <x v="25"/>
    <n v="1"/>
    <n v="60"/>
    <n v="47"/>
    <n v="13"/>
    <x v="6"/>
    <x v="3"/>
  </r>
  <r>
    <x v="27"/>
    <x v="116"/>
    <n v="1"/>
    <n v="110"/>
    <n v="88"/>
    <n v="22"/>
    <x v="6"/>
    <x v="3"/>
  </r>
  <r>
    <x v="27"/>
    <x v="87"/>
    <n v="1"/>
    <n v="80"/>
    <n v="71"/>
    <n v="9"/>
    <x v="6"/>
    <x v="3"/>
  </r>
  <r>
    <x v="27"/>
    <x v="117"/>
    <n v="2"/>
    <n v="120"/>
    <n v="84"/>
    <n v="72"/>
    <x v="6"/>
    <x v="3"/>
  </r>
  <r>
    <x v="27"/>
    <x v="118"/>
    <n v="1"/>
    <n v="220"/>
    <n v="180"/>
    <n v="40"/>
    <x v="6"/>
    <x v="3"/>
  </r>
  <r>
    <x v="27"/>
    <x v="27"/>
    <n v="2"/>
    <n v="45"/>
    <n v="38"/>
    <n v="14"/>
    <x v="6"/>
    <x v="3"/>
  </r>
  <r>
    <x v="28"/>
    <x v="84"/>
    <n v="1"/>
    <n v="8300"/>
    <n v="8020"/>
    <n v="280"/>
    <x v="0"/>
    <x v="4"/>
  </r>
  <r>
    <x v="28"/>
    <x v="1"/>
    <n v="1"/>
    <n v="1300"/>
    <n v="1180"/>
    <n v="120"/>
    <x v="0"/>
    <x v="4"/>
  </r>
  <r>
    <x v="28"/>
    <x v="79"/>
    <n v="2"/>
    <n v="15"/>
    <n v="12"/>
    <n v="6"/>
    <x v="0"/>
    <x v="4"/>
  </r>
  <r>
    <x v="28"/>
    <x v="104"/>
    <n v="6"/>
    <n v="10"/>
    <n v="9"/>
    <n v="6"/>
    <x v="0"/>
    <x v="4"/>
  </r>
  <r>
    <x v="28"/>
    <x v="51"/>
    <n v="22"/>
    <n v="185"/>
    <n v="164"/>
    <n v="462"/>
    <x v="0"/>
    <x v="4"/>
  </r>
  <r>
    <x v="28"/>
    <x v="52"/>
    <n v="12"/>
    <n v="15"/>
    <n v="12.5"/>
    <n v="30"/>
    <x v="0"/>
    <x v="4"/>
  </r>
  <r>
    <x v="28"/>
    <x v="108"/>
    <n v="1"/>
    <n v="530"/>
    <n v="466"/>
    <n v="64"/>
    <x v="0"/>
    <x v="4"/>
  </r>
  <r>
    <x v="28"/>
    <x v="109"/>
    <n v="2"/>
    <n v="125"/>
    <n v="99"/>
    <n v="52"/>
    <x v="0"/>
    <x v="4"/>
  </r>
  <r>
    <x v="28"/>
    <x v="75"/>
    <n v="2"/>
    <n v="110"/>
    <n v="88"/>
    <n v="44"/>
    <x v="0"/>
    <x v="4"/>
  </r>
  <r>
    <x v="29"/>
    <x v="9"/>
    <n v="4"/>
    <n v="570"/>
    <n v="521"/>
    <n v="196"/>
    <x v="1"/>
    <x v="4"/>
  </r>
  <r>
    <x v="29"/>
    <x v="11"/>
    <n v="8"/>
    <n v="110"/>
    <n v="89"/>
    <n v="168"/>
    <x v="1"/>
    <x v="4"/>
  </r>
  <r>
    <x v="29"/>
    <x v="12"/>
    <n v="1"/>
    <n v="190"/>
    <n v="164"/>
    <n v="26"/>
    <x v="1"/>
    <x v="4"/>
  </r>
  <r>
    <x v="29"/>
    <x v="10"/>
    <n v="2"/>
    <n v="90"/>
    <n v="79"/>
    <n v="22"/>
    <x v="1"/>
    <x v="4"/>
  </r>
  <r>
    <x v="29"/>
    <x v="119"/>
    <n v="1"/>
    <n v="340"/>
    <n v="296"/>
    <n v="44"/>
    <x v="1"/>
    <x v="4"/>
  </r>
  <r>
    <x v="29"/>
    <x v="13"/>
    <n v="2"/>
    <n v="110"/>
    <n v="98"/>
    <n v="24"/>
    <x v="1"/>
    <x v="4"/>
  </r>
  <r>
    <x v="29"/>
    <x v="5"/>
    <n v="6"/>
    <n v="10"/>
    <n v="9.1"/>
    <n v="5.4000000000000021"/>
    <x v="1"/>
    <x v="4"/>
  </r>
  <r>
    <x v="29"/>
    <x v="120"/>
    <n v="1"/>
    <n v="2200"/>
    <n v="1872"/>
    <n v="328"/>
    <x v="1"/>
    <x v="4"/>
  </r>
  <r>
    <x v="30"/>
    <x v="121"/>
    <n v="1"/>
    <n v="4450"/>
    <n v="4095"/>
    <n v="355"/>
    <x v="2"/>
    <x v="4"/>
  </r>
  <r>
    <x v="30"/>
    <x v="54"/>
    <n v="2"/>
    <n v="250"/>
    <n v="210"/>
    <n v="80"/>
    <x v="2"/>
    <x v="4"/>
  </r>
  <r>
    <x v="30"/>
    <x v="122"/>
    <n v="6"/>
    <n v="120"/>
    <n v="91"/>
    <n v="174"/>
    <x v="2"/>
    <x v="4"/>
  </r>
  <r>
    <x v="30"/>
    <x v="123"/>
    <n v="6"/>
    <n v="90"/>
    <n v="72"/>
    <n v="108"/>
    <x v="2"/>
    <x v="4"/>
  </r>
  <r>
    <x v="30"/>
    <x v="124"/>
    <n v="10"/>
    <n v="20"/>
    <n v="14.24"/>
    <n v="57.599999999999994"/>
    <x v="2"/>
    <x v="4"/>
  </r>
  <r>
    <x v="30"/>
    <x v="51"/>
    <n v="3"/>
    <n v="170"/>
    <n v="159"/>
    <n v="33"/>
    <x v="2"/>
    <x v="4"/>
  </r>
  <r>
    <x v="30"/>
    <x v="103"/>
    <n v="2"/>
    <n v="70"/>
    <n v="53"/>
    <n v="34"/>
    <x v="2"/>
    <x v="4"/>
  </r>
  <r>
    <x v="30"/>
    <x v="4"/>
    <n v="2"/>
    <n v="20"/>
    <n v="14"/>
    <n v="12"/>
    <x v="2"/>
    <x v="4"/>
  </r>
  <r>
    <x v="31"/>
    <x v="16"/>
    <n v="3"/>
    <n v="320"/>
    <n v="290"/>
    <n v="90"/>
    <x v="3"/>
    <x v="4"/>
  </r>
  <r>
    <x v="31"/>
    <x v="17"/>
    <n v="2"/>
    <n v="90"/>
    <n v="78"/>
    <n v="24"/>
    <x v="3"/>
    <x v="4"/>
  </r>
  <r>
    <x v="31"/>
    <x v="70"/>
    <n v="2"/>
    <n v="30"/>
    <n v="19"/>
    <n v="22"/>
    <x v="3"/>
    <x v="4"/>
  </r>
  <r>
    <x v="31"/>
    <x v="102"/>
    <n v="1"/>
    <n v="60"/>
    <n v="42"/>
    <n v="18"/>
    <x v="3"/>
    <x v="4"/>
  </r>
  <r>
    <x v="31"/>
    <x v="16"/>
    <n v="2"/>
    <n v="320"/>
    <n v="290"/>
    <n v="60"/>
    <x v="3"/>
    <x v="4"/>
  </r>
  <r>
    <x v="31"/>
    <x v="125"/>
    <n v="3"/>
    <n v="60"/>
    <n v="51"/>
    <n v="27"/>
    <x v="3"/>
    <x v="4"/>
  </r>
  <r>
    <x v="31"/>
    <x v="17"/>
    <n v="2"/>
    <n v="90"/>
    <n v="78"/>
    <n v="24"/>
    <x v="3"/>
    <x v="4"/>
  </r>
  <r>
    <x v="31"/>
    <x v="126"/>
    <n v="1"/>
    <n v="50"/>
    <n v="34"/>
    <n v="16"/>
    <x v="3"/>
    <x v="4"/>
  </r>
  <r>
    <x v="31"/>
    <x v="102"/>
    <n v="1"/>
    <n v="60"/>
    <n v="42"/>
    <n v="18"/>
    <x v="3"/>
    <x v="4"/>
  </r>
  <r>
    <x v="32"/>
    <x v="127"/>
    <n v="1"/>
    <n v="1100"/>
    <n v="930"/>
    <n v="170"/>
    <x v="4"/>
    <x v="4"/>
  </r>
  <r>
    <x v="32"/>
    <x v="51"/>
    <n v="7"/>
    <n v="170"/>
    <n v="159"/>
    <n v="77"/>
    <x v="4"/>
    <x v="4"/>
  </r>
  <r>
    <x v="32"/>
    <x v="52"/>
    <n v="8"/>
    <n v="15"/>
    <n v="12.5"/>
    <n v="20"/>
    <x v="4"/>
    <x v="4"/>
  </r>
  <r>
    <x v="32"/>
    <x v="81"/>
    <n v="7"/>
    <n v="10"/>
    <n v="8.1"/>
    <n v="13.300000000000002"/>
    <x v="4"/>
    <x v="4"/>
  </r>
  <r>
    <x v="32"/>
    <x v="82"/>
    <n v="1"/>
    <n v="320"/>
    <n v="269"/>
    <n v="51"/>
    <x v="4"/>
    <x v="4"/>
  </r>
  <r>
    <x v="32"/>
    <x v="128"/>
    <n v="1"/>
    <n v="50"/>
    <n v="38"/>
    <n v="12"/>
    <x v="4"/>
    <x v="4"/>
  </r>
  <r>
    <x v="32"/>
    <x v="103"/>
    <n v="1"/>
    <n v="60"/>
    <n v="43"/>
    <n v="17"/>
    <x v="4"/>
    <x v="4"/>
  </r>
  <r>
    <x v="32"/>
    <x v="75"/>
    <n v="1"/>
    <n v="120"/>
    <n v="78"/>
    <n v="42"/>
    <x v="4"/>
    <x v="4"/>
  </r>
  <r>
    <x v="32"/>
    <x v="59"/>
    <n v="4"/>
    <n v="10"/>
    <n v="9.1999999999999993"/>
    <n v="3.2000000000000028"/>
    <x v="4"/>
    <x v="4"/>
  </r>
  <r>
    <x v="32"/>
    <x v="129"/>
    <n v="1"/>
    <n v="4900"/>
    <n v="4550"/>
    <n v="350"/>
    <x v="4"/>
    <x v="4"/>
  </r>
  <r>
    <x v="33"/>
    <x v="51"/>
    <n v="6"/>
    <n v="180"/>
    <n v="167"/>
    <n v="78"/>
    <x v="5"/>
    <x v="4"/>
  </r>
  <r>
    <x v="33"/>
    <x v="101"/>
    <n v="12"/>
    <n v="15"/>
    <n v="12.5"/>
    <n v="30"/>
    <x v="5"/>
    <x v="4"/>
  </r>
  <r>
    <x v="33"/>
    <x v="81"/>
    <n v="6"/>
    <n v="10"/>
    <n v="8.4"/>
    <n v="9.5999999999999979"/>
    <x v="5"/>
    <x v="4"/>
  </r>
  <r>
    <x v="33"/>
    <x v="102"/>
    <n v="2"/>
    <n v="40"/>
    <n v="31"/>
    <n v="18"/>
    <x v="5"/>
    <x v="4"/>
  </r>
  <r>
    <x v="33"/>
    <x v="16"/>
    <n v="4"/>
    <n v="325"/>
    <n v="297"/>
    <n v="112"/>
    <x v="5"/>
    <x v="4"/>
  </r>
  <r>
    <x v="33"/>
    <x v="18"/>
    <n v="6"/>
    <n v="60"/>
    <n v="52"/>
    <n v="48"/>
    <x v="5"/>
    <x v="4"/>
  </r>
  <r>
    <x v="33"/>
    <x v="130"/>
    <n v="15"/>
    <n v="10"/>
    <n v="7"/>
    <n v="45"/>
    <x v="5"/>
    <x v="4"/>
  </r>
  <r>
    <x v="33"/>
    <x v="30"/>
    <n v="2"/>
    <n v="60"/>
    <n v="42"/>
    <n v="36"/>
    <x v="5"/>
    <x v="4"/>
  </r>
  <r>
    <x v="34"/>
    <x v="51"/>
    <n v="20"/>
    <n v="160"/>
    <n v="149.5"/>
    <n v="210"/>
    <x v="6"/>
    <x v="4"/>
  </r>
  <r>
    <x v="34"/>
    <x v="81"/>
    <n v="30"/>
    <n v="10"/>
    <n v="8.1"/>
    <n v="57.000000000000014"/>
    <x v="6"/>
    <x v="4"/>
  </r>
  <r>
    <x v="34"/>
    <x v="52"/>
    <n v="6"/>
    <n v="14"/>
    <n v="12.5"/>
    <n v="9"/>
    <x v="6"/>
    <x v="4"/>
  </r>
  <r>
    <x v="34"/>
    <x v="0"/>
    <n v="12"/>
    <n v="270"/>
    <n v="257"/>
    <n v="156"/>
    <x v="6"/>
    <x v="4"/>
  </r>
  <r>
    <x v="34"/>
    <x v="29"/>
    <n v="15"/>
    <n v="25"/>
    <n v="22.25"/>
    <n v="41.25"/>
    <x v="6"/>
    <x v="4"/>
  </r>
  <r>
    <x v="34"/>
    <x v="28"/>
    <n v="6"/>
    <n v="35"/>
    <n v="29"/>
    <n v="36"/>
    <x v="6"/>
    <x v="4"/>
  </r>
  <r>
    <x v="34"/>
    <x v="108"/>
    <n v="1"/>
    <n v="530"/>
    <n v="466"/>
    <n v="64"/>
    <x v="6"/>
    <x v="4"/>
  </r>
  <r>
    <x v="34"/>
    <x v="109"/>
    <n v="1"/>
    <n v="120"/>
    <n v="89"/>
    <n v="31"/>
    <x v="6"/>
    <x v="4"/>
  </r>
  <r>
    <x v="34"/>
    <x v="54"/>
    <n v="2"/>
    <n v="250"/>
    <n v="210"/>
    <n v="80"/>
    <x v="6"/>
    <x v="4"/>
  </r>
  <r>
    <x v="34"/>
    <x v="59"/>
    <n v="5"/>
    <n v="10"/>
    <n v="9.1999999999999993"/>
    <n v="4.0000000000000036"/>
    <x v="6"/>
    <x v="4"/>
  </r>
  <r>
    <x v="35"/>
    <x v="9"/>
    <n v="4"/>
    <n v="550"/>
    <n v="523"/>
    <n v="108"/>
    <x v="0"/>
    <x v="5"/>
  </r>
  <r>
    <x v="35"/>
    <x v="131"/>
    <n v="6"/>
    <n v="110"/>
    <n v="91"/>
    <n v="114"/>
    <x v="0"/>
    <x v="5"/>
  </r>
  <r>
    <x v="35"/>
    <x v="92"/>
    <n v="2"/>
    <n v="210"/>
    <n v="185"/>
    <n v="50"/>
    <x v="0"/>
    <x v="5"/>
  </r>
  <r>
    <x v="35"/>
    <x v="93"/>
    <n v="2"/>
    <n v="110"/>
    <n v="90"/>
    <n v="40"/>
    <x v="0"/>
    <x v="5"/>
  </r>
  <r>
    <x v="35"/>
    <x v="132"/>
    <n v="1"/>
    <n v="1200"/>
    <n v="980"/>
    <n v="220"/>
    <x v="0"/>
    <x v="5"/>
  </r>
  <r>
    <x v="35"/>
    <x v="37"/>
    <n v="1"/>
    <n v="360"/>
    <n v="320"/>
    <n v="40"/>
    <x v="0"/>
    <x v="5"/>
  </r>
  <r>
    <x v="35"/>
    <x v="54"/>
    <n v="2"/>
    <n v="260"/>
    <n v="192"/>
    <n v="136"/>
    <x v="0"/>
    <x v="5"/>
  </r>
  <r>
    <x v="35"/>
    <x v="133"/>
    <n v="1"/>
    <n v="140"/>
    <n v="119"/>
    <n v="21"/>
    <x v="0"/>
    <x v="5"/>
  </r>
  <r>
    <x v="35"/>
    <x v="134"/>
    <n v="2"/>
    <n v="60"/>
    <n v="33"/>
    <n v="54"/>
    <x v="0"/>
    <x v="5"/>
  </r>
  <r>
    <x v="36"/>
    <x v="33"/>
    <n v="3"/>
    <n v="50"/>
    <n v="42"/>
    <n v="24"/>
    <x v="1"/>
    <x v="5"/>
  </r>
  <r>
    <x v="36"/>
    <x v="132"/>
    <n v="2"/>
    <n v="980"/>
    <n v="860"/>
    <n v="240"/>
    <x v="1"/>
    <x v="5"/>
  </r>
  <r>
    <x v="36"/>
    <x v="73"/>
    <n v="1"/>
    <n v="320"/>
    <n v="290"/>
    <n v="30"/>
    <x v="1"/>
    <x v="5"/>
  </r>
  <r>
    <x v="36"/>
    <x v="75"/>
    <n v="2"/>
    <n v="110"/>
    <n v="101"/>
    <n v="18"/>
    <x v="1"/>
    <x v="5"/>
  </r>
  <r>
    <x v="36"/>
    <x v="5"/>
    <n v="12"/>
    <n v="10"/>
    <n v="9.1999999999999993"/>
    <n v="9.6000000000000085"/>
    <x v="1"/>
    <x v="5"/>
  </r>
  <r>
    <x v="36"/>
    <x v="135"/>
    <n v="2"/>
    <n v="8500"/>
    <n v="8300"/>
    <n v="400"/>
    <x v="1"/>
    <x v="5"/>
  </r>
  <r>
    <x v="36"/>
    <x v="7"/>
    <n v="4"/>
    <n v="60"/>
    <n v="52"/>
    <n v="32"/>
    <x v="1"/>
    <x v="5"/>
  </r>
  <r>
    <x v="37"/>
    <x v="51"/>
    <n v="20"/>
    <n v="160"/>
    <n v="147"/>
    <n v="260"/>
    <x v="2"/>
    <x v="5"/>
  </r>
  <r>
    <x v="37"/>
    <x v="9"/>
    <n v="3"/>
    <n v="550"/>
    <n v="510"/>
    <n v="120"/>
    <x v="2"/>
    <x v="5"/>
  </r>
  <r>
    <x v="37"/>
    <x v="11"/>
    <n v="4"/>
    <n v="110"/>
    <n v="108"/>
    <n v="8"/>
    <x v="2"/>
    <x v="5"/>
  </r>
  <r>
    <x v="37"/>
    <x v="12"/>
    <n v="2"/>
    <n v="190"/>
    <n v="170"/>
    <n v="40"/>
    <x v="2"/>
    <x v="5"/>
  </r>
  <r>
    <x v="37"/>
    <x v="13"/>
    <n v="1"/>
    <n v="60"/>
    <n v="56"/>
    <n v="4"/>
    <x v="2"/>
    <x v="5"/>
  </r>
  <r>
    <x v="37"/>
    <x v="5"/>
    <n v="5"/>
    <n v="10"/>
    <n v="9.5"/>
    <n v="2.5"/>
    <x v="2"/>
    <x v="5"/>
  </r>
  <r>
    <x v="37"/>
    <x v="14"/>
    <n v="12"/>
    <n v="10"/>
    <n v="9"/>
    <n v="12"/>
    <x v="2"/>
    <x v="5"/>
  </r>
  <r>
    <x v="37"/>
    <x v="59"/>
    <n v="10"/>
    <n v="20"/>
    <n v="16.5"/>
    <n v="35"/>
    <x v="2"/>
    <x v="5"/>
  </r>
  <r>
    <x v="38"/>
    <x v="136"/>
    <n v="2"/>
    <n v="220"/>
    <n v="190"/>
    <n v="60"/>
    <x v="3"/>
    <x v="5"/>
  </r>
  <r>
    <x v="38"/>
    <x v="0"/>
    <n v="6"/>
    <n v="270"/>
    <n v="263"/>
    <n v="42"/>
    <x v="3"/>
    <x v="5"/>
  </r>
  <r>
    <x v="38"/>
    <x v="1"/>
    <n v="1"/>
    <n v="1100"/>
    <n v="960"/>
    <n v="140"/>
    <x v="3"/>
    <x v="5"/>
  </r>
  <r>
    <x v="38"/>
    <x v="2"/>
    <n v="2"/>
    <n v="260"/>
    <n v="234"/>
    <n v="52"/>
    <x v="3"/>
    <x v="5"/>
  </r>
  <r>
    <x v="38"/>
    <x v="3"/>
    <n v="1"/>
    <n v="1300"/>
    <n v="1180"/>
    <n v="120"/>
    <x v="3"/>
    <x v="5"/>
  </r>
  <r>
    <x v="38"/>
    <x v="4"/>
    <n v="4"/>
    <n v="40"/>
    <n v="33"/>
    <n v="28"/>
    <x v="3"/>
    <x v="5"/>
  </r>
  <r>
    <x v="38"/>
    <x v="5"/>
    <n v="8"/>
    <n v="10"/>
    <n v="9.5"/>
    <n v="4"/>
    <x v="3"/>
    <x v="5"/>
  </r>
  <r>
    <x v="39"/>
    <x v="6"/>
    <n v="1"/>
    <n v="350"/>
    <n v="280"/>
    <n v="70"/>
    <x v="4"/>
    <x v="5"/>
  </r>
  <r>
    <x v="39"/>
    <x v="7"/>
    <n v="6"/>
    <n v="60"/>
    <n v="52"/>
    <n v="48"/>
    <x v="4"/>
    <x v="5"/>
  </r>
  <r>
    <x v="39"/>
    <x v="8"/>
    <n v="3"/>
    <n v="60"/>
    <n v="54"/>
    <n v="18"/>
    <x v="4"/>
    <x v="5"/>
  </r>
  <r>
    <x v="39"/>
    <x v="9"/>
    <n v="6"/>
    <n v="550"/>
    <n v="510"/>
    <n v="240"/>
    <x v="4"/>
    <x v="5"/>
  </r>
  <r>
    <x v="39"/>
    <x v="10"/>
    <n v="6"/>
    <n v="90"/>
    <n v="81"/>
    <n v="54"/>
    <x v="4"/>
    <x v="5"/>
  </r>
  <r>
    <x v="39"/>
    <x v="11"/>
    <n v="4"/>
    <n v="110"/>
    <n v="98"/>
    <n v="48"/>
    <x v="4"/>
    <x v="5"/>
  </r>
  <r>
    <x v="39"/>
    <x v="12"/>
    <n v="2"/>
    <n v="190"/>
    <n v="170"/>
    <n v="40"/>
    <x v="4"/>
    <x v="5"/>
  </r>
  <r>
    <x v="39"/>
    <x v="13"/>
    <n v="2"/>
    <n v="60"/>
    <n v="56"/>
    <n v="8"/>
    <x v="4"/>
    <x v="5"/>
  </r>
  <r>
    <x v="40"/>
    <x v="7"/>
    <n v="3"/>
    <n v="60"/>
    <n v="52"/>
    <n v="24"/>
    <x v="5"/>
    <x v="5"/>
  </r>
  <r>
    <x v="40"/>
    <x v="14"/>
    <n v="7"/>
    <n v="10"/>
    <n v="9.5"/>
    <n v="3.5"/>
    <x v="5"/>
    <x v="5"/>
  </r>
  <r>
    <x v="40"/>
    <x v="15"/>
    <n v="1"/>
    <n v="700"/>
    <n v="570"/>
    <n v="130"/>
    <x v="5"/>
    <x v="5"/>
  </r>
  <r>
    <x v="40"/>
    <x v="16"/>
    <n v="2"/>
    <n v="325"/>
    <n v="308"/>
    <n v="34"/>
    <x v="5"/>
    <x v="5"/>
  </r>
  <r>
    <x v="40"/>
    <x v="17"/>
    <n v="5"/>
    <n v="60"/>
    <n v="51"/>
    <n v="45"/>
    <x v="5"/>
    <x v="5"/>
  </r>
  <r>
    <x v="40"/>
    <x v="18"/>
    <n v="6"/>
    <n v="60"/>
    <n v="51"/>
    <n v="54"/>
    <x v="5"/>
    <x v="5"/>
  </r>
  <r>
    <x v="40"/>
    <x v="19"/>
    <n v="2"/>
    <n v="120"/>
    <n v="108"/>
    <n v="24"/>
    <x v="5"/>
    <x v="5"/>
  </r>
  <r>
    <x v="40"/>
    <x v="13"/>
    <n v="2"/>
    <n v="60"/>
    <n v="56"/>
    <n v="8"/>
    <x v="5"/>
    <x v="5"/>
  </r>
  <r>
    <x v="41"/>
    <x v="22"/>
    <n v="2"/>
    <n v="70"/>
    <n v="57"/>
    <n v="26"/>
    <x v="6"/>
    <x v="5"/>
  </r>
  <r>
    <x v="41"/>
    <x v="23"/>
    <n v="2"/>
    <n v="110"/>
    <n v="90"/>
    <n v="40"/>
    <x v="6"/>
    <x v="5"/>
  </r>
  <r>
    <x v="41"/>
    <x v="24"/>
    <n v="2"/>
    <n v="850"/>
    <n v="720"/>
    <n v="260"/>
    <x v="6"/>
    <x v="5"/>
  </r>
  <r>
    <x v="41"/>
    <x v="25"/>
    <n v="2"/>
    <n v="80"/>
    <n v="65"/>
    <n v="30"/>
    <x v="6"/>
    <x v="5"/>
  </r>
  <r>
    <x v="41"/>
    <x v="0"/>
    <n v="6"/>
    <n v="270"/>
    <n v="257"/>
    <n v="78"/>
    <x v="6"/>
    <x v="5"/>
  </r>
  <r>
    <x v="41"/>
    <x v="28"/>
    <n v="3"/>
    <n v="30"/>
    <n v="27"/>
    <n v="9"/>
    <x v="6"/>
    <x v="5"/>
  </r>
  <r>
    <x v="41"/>
    <x v="29"/>
    <n v="6"/>
    <n v="25"/>
    <n v="22"/>
    <n v="18"/>
    <x v="6"/>
    <x v="5"/>
  </r>
  <r>
    <x v="41"/>
    <x v="30"/>
    <n v="2"/>
    <n v="110"/>
    <n v="90"/>
    <n v="40"/>
    <x v="6"/>
    <x v="5"/>
  </r>
  <r>
    <x v="41"/>
    <x v="31"/>
    <n v="20"/>
    <n v="5"/>
    <n v="4.2"/>
    <n v="15.999999999999996"/>
    <x v="6"/>
    <x v="5"/>
  </r>
  <r>
    <x v="42"/>
    <x v="32"/>
    <n v="1"/>
    <n v="1200"/>
    <n v="980"/>
    <n v="220"/>
    <x v="0"/>
    <x v="6"/>
  </r>
  <r>
    <x v="42"/>
    <x v="33"/>
    <n v="3"/>
    <n v="50"/>
    <n v="42"/>
    <n v="24"/>
    <x v="0"/>
    <x v="6"/>
  </r>
  <r>
    <x v="42"/>
    <x v="34"/>
    <n v="6"/>
    <n v="10"/>
    <n v="9.1"/>
    <n v="5.4000000000000021"/>
    <x v="0"/>
    <x v="6"/>
  </r>
  <r>
    <x v="42"/>
    <x v="35"/>
    <n v="2"/>
    <n v="90"/>
    <n v="78"/>
    <n v="24"/>
    <x v="0"/>
    <x v="6"/>
  </r>
  <r>
    <x v="42"/>
    <x v="36"/>
    <n v="3"/>
    <n v="120"/>
    <n v="112"/>
    <n v="24"/>
    <x v="0"/>
    <x v="6"/>
  </r>
  <r>
    <x v="42"/>
    <x v="7"/>
    <n v="5"/>
    <n v="50"/>
    <n v="42"/>
    <n v="40"/>
    <x v="0"/>
    <x v="6"/>
  </r>
  <r>
    <x v="42"/>
    <x v="34"/>
    <n v="15"/>
    <n v="10"/>
    <n v="9.1999999999999993"/>
    <n v="12.000000000000011"/>
    <x v="0"/>
    <x v="6"/>
  </r>
  <r>
    <x v="42"/>
    <x v="15"/>
    <n v="2"/>
    <n v="400"/>
    <n v="340"/>
    <n v="120"/>
    <x v="0"/>
    <x v="6"/>
  </r>
  <r>
    <x v="42"/>
    <x v="4"/>
    <n v="6"/>
    <n v="20"/>
    <n v="16"/>
    <n v="24"/>
    <x v="0"/>
    <x v="6"/>
  </r>
  <r>
    <x v="42"/>
    <x v="37"/>
    <n v="1"/>
    <n v="400"/>
    <n v="360"/>
    <n v="40"/>
    <x v="0"/>
    <x v="6"/>
  </r>
  <r>
    <x v="43"/>
    <x v="3"/>
    <n v="2"/>
    <n v="1300"/>
    <n v="1180"/>
    <n v="240"/>
    <x v="1"/>
    <x v="6"/>
  </r>
  <r>
    <x v="43"/>
    <x v="137"/>
    <m/>
    <m/>
    <m/>
    <n v="0"/>
    <x v="1"/>
    <x v="6"/>
  </r>
  <r>
    <x v="43"/>
    <x v="51"/>
    <n v="8"/>
    <n v="180"/>
    <n v="167"/>
    <n v="104"/>
    <x v="1"/>
    <x v="6"/>
  </r>
  <r>
    <x v="43"/>
    <x v="52"/>
    <n v="18"/>
    <n v="15"/>
    <n v="10.5"/>
    <n v="81"/>
    <x v="1"/>
    <x v="6"/>
  </r>
  <r>
    <x v="43"/>
    <x v="81"/>
    <n v="12"/>
    <n v="10"/>
    <n v="8"/>
    <n v="24"/>
    <x v="1"/>
    <x v="6"/>
  </r>
  <r>
    <x v="43"/>
    <x v="138"/>
    <n v="6"/>
    <n v="30"/>
    <n v="26"/>
    <n v="24"/>
    <x v="1"/>
    <x v="6"/>
  </r>
  <r>
    <x v="43"/>
    <x v="30"/>
    <n v="2"/>
    <n v="110"/>
    <n v="89"/>
    <n v="42"/>
    <x v="1"/>
    <x v="6"/>
  </r>
  <r>
    <x v="43"/>
    <x v="25"/>
    <n v="2"/>
    <n v="90"/>
    <n v="80"/>
    <n v="20"/>
    <x v="1"/>
    <x v="6"/>
  </r>
  <r>
    <x v="43"/>
    <x v="82"/>
    <n v="1"/>
    <n v="300"/>
    <n v="260"/>
    <n v="40"/>
    <x v="1"/>
    <x v="6"/>
  </r>
  <r>
    <x v="44"/>
    <x v="7"/>
    <n v="4"/>
    <n v="60"/>
    <n v="48"/>
    <n v="48"/>
    <x v="2"/>
    <x v="6"/>
  </r>
  <r>
    <x v="44"/>
    <x v="34"/>
    <n v="12"/>
    <n v="10"/>
    <n v="9.1999999999999993"/>
    <n v="9.6000000000000085"/>
    <x v="2"/>
    <x v="6"/>
  </r>
  <r>
    <x v="44"/>
    <x v="1"/>
    <n v="1"/>
    <n v="1200"/>
    <n v="1080"/>
    <n v="120"/>
    <x v="2"/>
    <x v="6"/>
  </r>
  <r>
    <x v="44"/>
    <x v="79"/>
    <n v="3"/>
    <n v="15"/>
    <n v="13"/>
    <n v="6"/>
    <x v="2"/>
    <x v="6"/>
  </r>
  <r>
    <x v="44"/>
    <x v="104"/>
    <n v="5"/>
    <n v="15"/>
    <n v="12.5"/>
    <n v="12.5"/>
    <x v="2"/>
    <x v="6"/>
  </r>
  <r>
    <x v="44"/>
    <x v="139"/>
    <n v="3"/>
    <n v="210"/>
    <n v="187"/>
    <n v="69"/>
    <x v="2"/>
    <x v="6"/>
  </r>
  <r>
    <x v="44"/>
    <x v="140"/>
    <n v="3"/>
    <n v="30"/>
    <n v="24"/>
    <n v="18"/>
    <x v="2"/>
    <x v="6"/>
  </r>
  <r>
    <x v="44"/>
    <x v="141"/>
    <n v="5"/>
    <n v="35"/>
    <n v="30"/>
    <n v="25"/>
    <x v="2"/>
    <x v="6"/>
  </r>
  <r>
    <x v="44"/>
    <x v="30"/>
    <n v="2"/>
    <n v="40"/>
    <n v="33"/>
    <n v="14"/>
    <x v="2"/>
    <x v="6"/>
  </r>
  <r>
    <x v="45"/>
    <x v="59"/>
    <n v="9"/>
    <n v="10"/>
    <n v="9.1999999999999993"/>
    <n v="7.2000000000000064"/>
    <x v="3"/>
    <x v="6"/>
  </r>
  <r>
    <x v="45"/>
    <x v="8"/>
    <n v="2"/>
    <n v="60"/>
    <n v="52"/>
    <n v="16"/>
    <x v="3"/>
    <x v="6"/>
  </r>
  <r>
    <x v="45"/>
    <x v="142"/>
    <n v="2"/>
    <n v="140"/>
    <n v="120"/>
    <n v="40"/>
    <x v="3"/>
    <x v="6"/>
  </r>
  <r>
    <x v="45"/>
    <x v="36"/>
    <n v="3"/>
    <n v="120"/>
    <n v="110"/>
    <n v="30"/>
    <x v="3"/>
    <x v="6"/>
  </r>
  <r>
    <x v="45"/>
    <x v="7"/>
    <n v="5"/>
    <n v="50"/>
    <n v="42"/>
    <n v="40"/>
    <x v="3"/>
    <x v="6"/>
  </r>
  <r>
    <x v="45"/>
    <x v="34"/>
    <n v="15"/>
    <n v="10"/>
    <n v="9.1999999999999993"/>
    <n v="12.000000000000011"/>
    <x v="3"/>
    <x v="6"/>
  </r>
  <r>
    <x v="45"/>
    <x v="15"/>
    <n v="2"/>
    <n v="400"/>
    <n v="320"/>
    <n v="160"/>
    <x v="3"/>
    <x v="6"/>
  </r>
  <r>
    <x v="45"/>
    <x v="4"/>
    <n v="6"/>
    <n v="20"/>
    <n v="16"/>
    <n v="24"/>
    <x v="3"/>
    <x v="6"/>
  </r>
  <r>
    <x v="46"/>
    <x v="37"/>
    <n v="1"/>
    <n v="400"/>
    <n v="360"/>
    <n v="40"/>
    <x v="4"/>
    <x v="6"/>
  </r>
  <r>
    <x v="46"/>
    <x v="1"/>
    <n v="1"/>
    <n v="1200"/>
    <n v="1080"/>
    <n v="120"/>
    <x v="4"/>
    <x v="6"/>
  </r>
  <r>
    <x v="46"/>
    <x v="79"/>
    <n v="3"/>
    <n v="15"/>
    <n v="13"/>
    <n v="6"/>
    <x v="4"/>
    <x v="6"/>
  </r>
  <r>
    <x v="46"/>
    <x v="104"/>
    <n v="5"/>
    <n v="15"/>
    <n v="12.5"/>
    <n v="12.5"/>
    <x v="4"/>
    <x v="6"/>
  </r>
  <r>
    <x v="46"/>
    <x v="139"/>
    <n v="3"/>
    <n v="210"/>
    <n v="187"/>
    <n v="69"/>
    <x v="4"/>
    <x v="6"/>
  </r>
  <r>
    <x v="46"/>
    <x v="140"/>
    <n v="3"/>
    <n v="30"/>
    <n v="24"/>
    <n v="18"/>
    <x v="4"/>
    <x v="6"/>
  </r>
  <r>
    <x v="46"/>
    <x v="141"/>
    <n v="5"/>
    <n v="35"/>
    <n v="30"/>
    <n v="25"/>
    <x v="4"/>
    <x v="6"/>
  </r>
  <r>
    <x v="46"/>
    <x v="30"/>
    <n v="2"/>
    <n v="40"/>
    <n v="33"/>
    <n v="14"/>
    <x v="4"/>
    <x v="6"/>
  </r>
  <r>
    <x v="47"/>
    <x v="59"/>
    <n v="9"/>
    <n v="10"/>
    <n v="9.1999999999999993"/>
    <n v="7.2000000000000064"/>
    <x v="5"/>
    <x v="6"/>
  </r>
  <r>
    <x v="47"/>
    <x v="8"/>
    <n v="2"/>
    <n v="60"/>
    <n v="52"/>
    <n v="16"/>
    <x v="5"/>
    <x v="6"/>
  </r>
  <r>
    <x v="47"/>
    <x v="142"/>
    <n v="2"/>
    <n v="140"/>
    <n v="120"/>
    <n v="40"/>
    <x v="5"/>
    <x v="6"/>
  </r>
  <r>
    <x v="47"/>
    <x v="51"/>
    <n v="6"/>
    <n v="170"/>
    <n v="159"/>
    <n v="66"/>
    <x v="5"/>
    <x v="6"/>
  </r>
  <r>
    <x v="47"/>
    <x v="52"/>
    <n v="15"/>
    <n v="15"/>
    <n v="13.6"/>
    <n v="21.000000000000007"/>
    <x v="5"/>
    <x v="6"/>
  </r>
  <r>
    <x v="47"/>
    <x v="81"/>
    <n v="6"/>
    <n v="15"/>
    <n v="12.5"/>
    <n v="15"/>
    <x v="5"/>
    <x v="6"/>
  </r>
  <r>
    <x v="47"/>
    <x v="143"/>
    <n v="5"/>
    <n v="60"/>
    <n v="55"/>
    <n v="25"/>
    <x v="5"/>
    <x v="6"/>
  </r>
  <r>
    <x v="47"/>
    <x v="144"/>
    <n v="2"/>
    <n v="70"/>
    <n v="63"/>
    <n v="14"/>
    <x v="5"/>
    <x v="6"/>
  </r>
  <r>
    <x v="47"/>
    <x v="53"/>
    <n v="2"/>
    <n v="120"/>
    <n v="105"/>
    <n v="30"/>
    <x v="5"/>
    <x v="6"/>
  </r>
  <r>
    <x v="47"/>
    <x v="30"/>
    <n v="1"/>
    <n v="230"/>
    <n v="188"/>
    <n v="42"/>
    <x v="5"/>
    <x v="6"/>
  </r>
  <r>
    <x v="48"/>
    <x v="59"/>
    <n v="15"/>
    <n v="10"/>
    <n v="9.1999999999999993"/>
    <n v="12.000000000000011"/>
    <x v="6"/>
    <x v="6"/>
  </r>
  <r>
    <x v="48"/>
    <x v="3"/>
    <n v="1"/>
    <n v="1300"/>
    <n v="1180"/>
    <n v="120"/>
    <x v="6"/>
    <x v="6"/>
  </r>
  <r>
    <x v="48"/>
    <x v="51"/>
    <n v="6"/>
    <n v="180"/>
    <n v="169"/>
    <n v="66"/>
    <x v="6"/>
    <x v="6"/>
  </r>
  <r>
    <x v="48"/>
    <x v="9"/>
    <n v="2"/>
    <n v="550"/>
    <n v="518"/>
    <n v="64"/>
    <x v="6"/>
    <x v="6"/>
  </r>
  <r>
    <x v="48"/>
    <x v="16"/>
    <n v="2"/>
    <n v="325"/>
    <n v="308"/>
    <n v="34"/>
    <x v="6"/>
    <x v="6"/>
  </r>
  <r>
    <x v="48"/>
    <x v="125"/>
    <n v="3"/>
    <n v="60"/>
    <n v="50"/>
    <n v="30"/>
    <x v="6"/>
    <x v="6"/>
  </r>
  <r>
    <x v="48"/>
    <x v="30"/>
    <n v="3"/>
    <n v="40"/>
    <n v="32"/>
    <n v="24"/>
    <x v="6"/>
    <x v="6"/>
  </r>
  <r>
    <x v="48"/>
    <x v="145"/>
    <n v="2"/>
    <n v="500"/>
    <n v="435"/>
    <n v="130"/>
    <x v="6"/>
    <x v="6"/>
  </r>
  <r>
    <x v="49"/>
    <x v="146"/>
    <n v="1"/>
    <n v="300"/>
    <n v="243"/>
    <n v="57"/>
    <x v="0"/>
    <x v="7"/>
  </r>
  <r>
    <x v="49"/>
    <x v="97"/>
    <n v="1"/>
    <n v="300"/>
    <n v="243"/>
    <n v="57"/>
    <x v="0"/>
    <x v="7"/>
  </r>
  <r>
    <x v="49"/>
    <x v="147"/>
    <n v="1"/>
    <n v="120"/>
    <n v="80"/>
    <n v="40"/>
    <x v="0"/>
    <x v="7"/>
  </r>
  <r>
    <x v="49"/>
    <x v="51"/>
    <n v="6"/>
    <n v="180"/>
    <n v="163"/>
    <n v="102"/>
    <x v="0"/>
    <x v="7"/>
  </r>
  <r>
    <x v="49"/>
    <x v="52"/>
    <n v="12"/>
    <n v="15"/>
    <n v="12.5"/>
    <n v="30"/>
    <x v="0"/>
    <x v="7"/>
  </r>
  <r>
    <x v="49"/>
    <x v="81"/>
    <n v="6"/>
    <n v="10"/>
    <n v="8"/>
    <n v="12"/>
    <x v="0"/>
    <x v="7"/>
  </r>
  <r>
    <x v="49"/>
    <x v="138"/>
    <n v="4"/>
    <n v="30"/>
    <n v="27"/>
    <n v="12"/>
    <x v="0"/>
    <x v="7"/>
  </r>
  <r>
    <x v="49"/>
    <x v="75"/>
    <n v="1"/>
    <n v="120"/>
    <n v="93"/>
    <n v="27"/>
    <x v="0"/>
    <x v="7"/>
  </r>
  <r>
    <x v="50"/>
    <x v="72"/>
    <n v="1"/>
    <n v="800"/>
    <n v="637"/>
    <n v="163"/>
    <x v="1"/>
    <x v="7"/>
  </r>
  <r>
    <x v="50"/>
    <x v="148"/>
    <n v="1"/>
    <n v="370"/>
    <n v="340"/>
    <n v="30"/>
    <x v="1"/>
    <x v="7"/>
  </r>
  <r>
    <x v="50"/>
    <x v="14"/>
    <n v="6"/>
    <n v="10"/>
    <n v="9.1999999999999993"/>
    <n v="4.8000000000000043"/>
    <x v="1"/>
    <x v="7"/>
  </r>
  <r>
    <x v="50"/>
    <x v="5"/>
    <n v="10"/>
    <n v="10"/>
    <n v="9.1999999999999993"/>
    <n v="8.0000000000000071"/>
    <x v="1"/>
    <x v="7"/>
  </r>
  <r>
    <x v="50"/>
    <x v="115"/>
    <n v="2"/>
    <n v="580"/>
    <n v="442"/>
    <n v="276"/>
    <x v="1"/>
    <x v="7"/>
  </r>
  <r>
    <x v="50"/>
    <x v="25"/>
    <n v="2"/>
    <n v="60"/>
    <n v="47"/>
    <n v="26"/>
    <x v="1"/>
    <x v="7"/>
  </r>
  <r>
    <x v="50"/>
    <x v="116"/>
    <n v="2"/>
    <n v="110"/>
    <n v="88"/>
    <n v="44"/>
    <x v="1"/>
    <x v="7"/>
  </r>
  <r>
    <x v="50"/>
    <x v="87"/>
    <n v="2"/>
    <n v="80"/>
    <n v="71"/>
    <n v="18"/>
    <x v="1"/>
    <x v="7"/>
  </r>
  <r>
    <x v="51"/>
    <x v="117"/>
    <n v="4"/>
    <n v="120"/>
    <n v="84"/>
    <n v="144"/>
    <x v="2"/>
    <x v="7"/>
  </r>
  <r>
    <x v="51"/>
    <x v="118"/>
    <n v="2"/>
    <n v="220"/>
    <n v="180"/>
    <n v="80"/>
    <x v="2"/>
    <x v="7"/>
  </r>
  <r>
    <x v="51"/>
    <x v="27"/>
    <n v="2"/>
    <n v="45"/>
    <n v="38"/>
    <n v="14"/>
    <x v="2"/>
    <x v="7"/>
  </r>
  <r>
    <x v="51"/>
    <x v="139"/>
    <n v="2"/>
    <n v="230"/>
    <n v="193"/>
    <n v="74"/>
    <x v="2"/>
    <x v="7"/>
  </r>
  <r>
    <x v="51"/>
    <x v="141"/>
    <n v="6"/>
    <n v="30"/>
    <n v="22"/>
    <n v="48"/>
    <x v="2"/>
    <x v="7"/>
  </r>
  <r>
    <x v="51"/>
    <x v="47"/>
    <n v="1"/>
    <n v="40"/>
    <n v="30"/>
    <n v="10"/>
    <x v="2"/>
    <x v="7"/>
  </r>
  <r>
    <x v="51"/>
    <x v="149"/>
    <n v="4"/>
    <n v="20"/>
    <n v="14"/>
    <n v="24"/>
    <x v="2"/>
    <x v="7"/>
  </r>
  <r>
    <x v="52"/>
    <x v="51"/>
    <n v="12"/>
    <n v="180"/>
    <n v="163"/>
    <n v="204"/>
    <x v="3"/>
    <x v="7"/>
  </r>
  <r>
    <x v="52"/>
    <x v="52"/>
    <n v="24"/>
    <n v="15"/>
    <n v="12.5"/>
    <n v="60"/>
    <x v="3"/>
    <x v="7"/>
  </r>
  <r>
    <x v="52"/>
    <x v="81"/>
    <n v="12"/>
    <n v="15"/>
    <n v="12"/>
    <n v="36"/>
    <x v="3"/>
    <x v="7"/>
  </r>
  <r>
    <x v="52"/>
    <x v="138"/>
    <n v="6"/>
    <n v="35"/>
    <n v="31"/>
    <n v="24"/>
    <x v="3"/>
    <x v="7"/>
  </r>
  <r>
    <x v="52"/>
    <x v="75"/>
    <n v="2"/>
    <n v="110"/>
    <n v="90"/>
    <n v="40"/>
    <x v="3"/>
    <x v="7"/>
  </r>
  <r>
    <x v="52"/>
    <x v="6"/>
    <n v="2"/>
    <n v="150"/>
    <n v="134"/>
    <n v="32"/>
    <x v="3"/>
    <x v="7"/>
  </r>
  <r>
    <x v="52"/>
    <x v="9"/>
    <n v="4"/>
    <n v="530"/>
    <n v="505"/>
    <n v="100"/>
    <x v="3"/>
    <x v="7"/>
  </r>
  <r>
    <x v="52"/>
    <x v="131"/>
    <n v="4"/>
    <n v="110"/>
    <n v="93"/>
    <n v="68"/>
    <x v="3"/>
    <x v="7"/>
  </r>
  <r>
    <x v="52"/>
    <x v="12"/>
    <n v="2"/>
    <n v="160"/>
    <n v="142"/>
    <n v="36"/>
    <x v="3"/>
    <x v="7"/>
  </r>
  <r>
    <x v="52"/>
    <x v="13"/>
    <n v="1"/>
    <n v="60"/>
    <n v="51"/>
    <n v="9"/>
    <x v="3"/>
    <x v="7"/>
  </r>
  <r>
    <x v="53"/>
    <x v="7"/>
    <n v="3"/>
    <n v="60"/>
    <n v="52"/>
    <n v="24"/>
    <x v="4"/>
    <x v="7"/>
  </r>
  <r>
    <x v="53"/>
    <x v="14"/>
    <n v="7"/>
    <n v="10"/>
    <n v="9.1999999999999993"/>
    <n v="5.600000000000005"/>
    <x v="4"/>
    <x v="7"/>
  </r>
  <r>
    <x v="53"/>
    <x v="51"/>
    <n v="2"/>
    <n v="140"/>
    <n v="112"/>
    <n v="56"/>
    <x v="4"/>
    <x v="7"/>
  </r>
  <r>
    <x v="53"/>
    <x v="52"/>
    <n v="20"/>
    <n v="15"/>
    <n v="13"/>
    <n v="40"/>
    <x v="4"/>
    <x v="7"/>
  </r>
  <r>
    <x v="53"/>
    <x v="81"/>
    <n v="10"/>
    <n v="10"/>
    <n v="9.1"/>
    <n v="9.0000000000000036"/>
    <x v="4"/>
    <x v="7"/>
  </r>
  <r>
    <x v="53"/>
    <x v="4"/>
    <n v="3"/>
    <n v="20"/>
    <n v="12"/>
    <n v="24"/>
    <x v="4"/>
    <x v="7"/>
  </r>
  <r>
    <x v="53"/>
    <x v="1"/>
    <n v="1"/>
    <n v="1125"/>
    <n v="980"/>
    <n v="145"/>
    <x v="4"/>
    <x v="7"/>
  </r>
  <r>
    <x v="53"/>
    <x v="150"/>
    <n v="3"/>
    <n v="10"/>
    <n v="8"/>
    <n v="6"/>
    <x v="4"/>
    <x v="7"/>
  </r>
  <r>
    <x v="53"/>
    <x v="104"/>
    <n v="6"/>
    <n v="15"/>
    <n v="9"/>
    <n v="36"/>
    <x v="4"/>
    <x v="7"/>
  </r>
  <r>
    <x v="53"/>
    <x v="151"/>
    <n v="1"/>
    <n v="170"/>
    <n v="137"/>
    <n v="33"/>
    <x v="4"/>
    <x v="7"/>
  </r>
  <r>
    <x v="53"/>
    <x v="59"/>
    <n v="11"/>
    <n v="10"/>
    <n v="9.1999999999999993"/>
    <n v="8.8000000000000078"/>
    <x v="4"/>
    <x v="7"/>
  </r>
  <r>
    <x v="54"/>
    <x v="32"/>
    <n v="1"/>
    <n v="1100"/>
    <n v="920"/>
    <n v="180"/>
    <x v="5"/>
    <x v="7"/>
  </r>
  <r>
    <x v="54"/>
    <x v="152"/>
    <n v="1"/>
    <n v="120"/>
    <n v="92"/>
    <n v="28"/>
    <x v="5"/>
    <x v="7"/>
  </r>
  <r>
    <x v="54"/>
    <x v="4"/>
    <n v="5"/>
    <n v="20"/>
    <n v="14"/>
    <n v="30"/>
    <x v="5"/>
    <x v="7"/>
  </r>
  <r>
    <x v="54"/>
    <x v="22"/>
    <n v="2"/>
    <n v="70"/>
    <n v="57"/>
    <n v="26"/>
    <x v="5"/>
    <x v="7"/>
  </r>
  <r>
    <x v="54"/>
    <x v="16"/>
    <n v="4"/>
    <n v="325"/>
    <n v="297"/>
    <n v="112"/>
    <x v="5"/>
    <x v="7"/>
  </r>
  <r>
    <x v="54"/>
    <x v="18"/>
    <n v="6"/>
    <n v="60"/>
    <n v="52"/>
    <n v="48"/>
    <x v="5"/>
    <x v="7"/>
  </r>
  <r>
    <x v="54"/>
    <x v="130"/>
    <n v="15"/>
    <n v="10"/>
    <n v="7"/>
    <n v="45"/>
    <x v="5"/>
    <x v="7"/>
  </r>
  <r>
    <x v="54"/>
    <x v="30"/>
    <n v="2"/>
    <n v="60"/>
    <n v="42"/>
    <n v="36"/>
    <x v="5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6BD25-FB00-4E73-B338-12E63E2BFB3F}" name="PivotTable3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X4:Y50" firstHeaderRow="1" firstDataRow="1" firstDataCol="1" rowPageCount="1" colPageCount="1"/>
  <pivotFields count="8">
    <pivotField compact="0" outline="0" showAll="0"/>
    <pivotField axis="axisRow" compact="0" outline="0" showAll="0" sortType="descending">
      <items count="154">
        <item x="2"/>
        <item x="29"/>
        <item x="28"/>
        <item x="0"/>
        <item x="38"/>
        <item x="36"/>
        <item x="26"/>
        <item x="39"/>
        <item x="40"/>
        <item x="18"/>
        <item x="8"/>
        <item x="17"/>
        <item x="21"/>
        <item x="20"/>
        <item x="16"/>
        <item x="19"/>
        <item x="41"/>
        <item x="42"/>
        <item x="11"/>
        <item x="34"/>
        <item x="10"/>
        <item x="9"/>
        <item x="12"/>
        <item x="37"/>
        <item x="22"/>
        <item x="5"/>
        <item x="23"/>
        <item x="33"/>
        <item x="32"/>
        <item x="3"/>
        <item x="35"/>
        <item x="1"/>
        <item x="14"/>
        <item x="44"/>
        <item x="31"/>
        <item x="6"/>
        <item x="30"/>
        <item x="4"/>
        <item x="13"/>
        <item x="24"/>
        <item x="43"/>
        <item x="15"/>
        <item x="7"/>
        <item x="25"/>
        <item x="27"/>
        <item x="137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axis="axisPage" compact="0" outline="0" showAll="0">
      <items count="10">
        <item x="0"/>
        <item h="1" x="1"/>
        <item h="1" m="1" x="8"/>
        <item h="1" x="2"/>
        <item h="1" x="3"/>
        <item h="1" x="4"/>
        <item h="1" x="5"/>
        <item h="1" x="6"/>
        <item h="1" x="7"/>
        <item t="default"/>
      </items>
    </pivotField>
  </pivotFields>
  <rowFields count="1">
    <field x="1"/>
  </rowFields>
  <rowItems count="46">
    <i>
      <x v="19"/>
    </i>
    <i>
      <x v="34"/>
    </i>
    <i>
      <x v="2"/>
    </i>
    <i>
      <x v="3"/>
    </i>
    <i>
      <x v="42"/>
    </i>
    <i>
      <x v="37"/>
    </i>
    <i>
      <x v="25"/>
    </i>
    <i>
      <x v="1"/>
    </i>
    <i>
      <x v="32"/>
    </i>
    <i>
      <x v="9"/>
    </i>
    <i>
      <x v="20"/>
    </i>
    <i>
      <x v="13"/>
    </i>
    <i>
      <x v="21"/>
    </i>
    <i>
      <x v="11"/>
    </i>
    <i>
      <x v="18"/>
    </i>
    <i>
      <x v="38"/>
    </i>
    <i>
      <x v="6"/>
    </i>
    <i>
      <x v="10"/>
    </i>
    <i>
      <x v="40"/>
    </i>
    <i>
      <x v="41"/>
    </i>
    <i>
      <x v="33"/>
    </i>
    <i>
      <x v="5"/>
    </i>
    <i>
      <x v="27"/>
    </i>
    <i>
      <x v="29"/>
    </i>
    <i>
      <x v="39"/>
    </i>
    <i>
      <x v="17"/>
    </i>
    <i>
      <x v="43"/>
    </i>
    <i>
      <x v="12"/>
    </i>
    <i>
      <x v="26"/>
    </i>
    <i>
      <x v="24"/>
    </i>
    <i>
      <x/>
    </i>
    <i>
      <x v="44"/>
    </i>
    <i>
      <x v="15"/>
    </i>
    <i>
      <x v="36"/>
    </i>
    <i>
      <x v="14"/>
    </i>
    <i>
      <x v="30"/>
    </i>
    <i>
      <x v="22"/>
    </i>
    <i>
      <x v="28"/>
    </i>
    <i>
      <x v="8"/>
    </i>
    <i>
      <x v="7"/>
    </i>
    <i>
      <x v="4"/>
    </i>
    <i>
      <x v="35"/>
    </i>
    <i>
      <x v="31"/>
    </i>
    <i>
      <x v="23"/>
    </i>
    <i>
      <x v="16"/>
    </i>
    <i t="grand">
      <x/>
    </i>
  </rowItems>
  <colItems count="1">
    <i/>
  </colItems>
  <pageFields count="1">
    <pageField fld="7" item="0" hier="-1"/>
  </pageFields>
  <dataFields count="1">
    <dataField name="Units Sold" fld="2" baseField="0" baseItem="0"/>
  </dataFields>
  <formats count="13">
    <format dxfId="224">
      <pivotArea outline="0" fieldPosition="0">
        <references count="1">
          <reference field="1" count="1" selected="0">
            <x v="19"/>
          </reference>
        </references>
      </pivotArea>
    </format>
    <format dxfId="225">
      <pivotArea outline="0" fieldPosition="0">
        <references count="1">
          <reference field="1" count="1" selected="0">
            <x v="19"/>
          </reference>
        </references>
      </pivotArea>
    </format>
    <format dxfId="226">
      <pivotArea outline="0" fieldPosition="0">
        <references count="1">
          <reference field="1" count="1" selected="0">
            <x v="19"/>
          </reference>
        </references>
      </pivotArea>
    </format>
    <format dxfId="227">
      <pivotArea outline="0" fieldPosition="0">
        <references count="1">
          <reference field="1" count="1" selected="0">
            <x v="19"/>
          </reference>
        </references>
      </pivotArea>
    </format>
    <format dxfId="228">
      <pivotArea outline="0" fieldPosition="0">
        <references count="1">
          <reference field="1" count="1" selected="0">
            <x v="19"/>
          </reference>
        </references>
      </pivotArea>
    </format>
    <format dxfId="229">
      <pivotArea outline="0" fieldPosition="0">
        <references count="1">
          <reference field="1" count="1" selected="0">
            <x v="19"/>
          </reference>
        </references>
      </pivotArea>
    </format>
    <format dxfId="230">
      <pivotArea outline="0" fieldPosition="0">
        <references count="1">
          <reference field="1" count="1" selected="0">
            <x v="19"/>
          </reference>
        </references>
      </pivotArea>
    </format>
    <format dxfId="231">
      <pivotArea type="all" dataOnly="0" outline="0" fieldPosition="0"/>
    </format>
    <format dxfId="232">
      <pivotArea outline="0" collapsedLevelsAreSubtotals="1" fieldPosition="0"/>
    </format>
    <format dxfId="233">
      <pivotArea field="1" type="button" dataOnly="0" labelOnly="1" outline="0" axis="axisRow" fieldPosition="0"/>
    </format>
    <format dxfId="234">
      <pivotArea dataOnly="0" labelOnly="1" outline="0" fieldPosition="0">
        <references count="1">
          <reference field="1" count="4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</reference>
        </references>
      </pivotArea>
    </format>
    <format dxfId="235">
      <pivotArea dataOnly="0" labelOnly="1" grandRow="1" outline="0" fieldPosition="0"/>
    </format>
    <format dxfId="23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95C2F-DAB4-4D2B-A2CF-5F25566AB21A}" name="PivotTable2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N4:O50" firstHeaderRow="1" firstDataRow="1" firstDataCol="1" rowPageCount="1" colPageCount="1"/>
  <pivotFields count="8">
    <pivotField compact="0" outline="0" showAll="0"/>
    <pivotField axis="axisRow" compact="0" outline="0" showAll="0" sortType="descending">
      <items count="154">
        <item x="137"/>
        <item x="27"/>
        <item x="25"/>
        <item x="7"/>
        <item x="15"/>
        <item x="43"/>
        <item x="24"/>
        <item x="13"/>
        <item x="4"/>
        <item x="30"/>
        <item x="6"/>
        <item x="31"/>
        <item x="44"/>
        <item x="14"/>
        <item x="1"/>
        <item x="35"/>
        <item x="3"/>
        <item x="32"/>
        <item x="33"/>
        <item x="23"/>
        <item x="5"/>
        <item x="22"/>
        <item x="37"/>
        <item x="12"/>
        <item x="9"/>
        <item x="10"/>
        <item x="34"/>
        <item x="11"/>
        <item x="42"/>
        <item x="41"/>
        <item x="19"/>
        <item x="16"/>
        <item x="20"/>
        <item x="21"/>
        <item x="17"/>
        <item x="8"/>
        <item x="18"/>
        <item x="40"/>
        <item x="39"/>
        <item x="26"/>
        <item x="36"/>
        <item x="38"/>
        <item x="0"/>
        <item x="28"/>
        <item x="29"/>
        <item x="2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axis="axisPage" compact="0" outline="0" showAll="0">
      <items count="10">
        <item x="0"/>
        <item h="1" x="1"/>
        <item h="1" m="1" x="8"/>
        <item h="1" x="2"/>
        <item h="1" x="3"/>
        <item h="1" x="4"/>
        <item h="1" x="5"/>
        <item h="1" x="6"/>
        <item h="1" x="7"/>
        <item t="default"/>
      </items>
    </pivotField>
  </pivotFields>
  <rowFields count="1">
    <field x="1"/>
  </rowFields>
  <rowItems count="46">
    <i>
      <x v="16"/>
    </i>
    <i>
      <x v="4"/>
    </i>
    <i>
      <x v="6"/>
    </i>
    <i>
      <x v="42"/>
    </i>
    <i>
      <x v="17"/>
    </i>
    <i>
      <x v="24"/>
    </i>
    <i>
      <x v="3"/>
    </i>
    <i>
      <x v="14"/>
    </i>
    <i>
      <x v="43"/>
    </i>
    <i>
      <x v="39"/>
    </i>
    <i>
      <x v="19"/>
    </i>
    <i>
      <x v="27"/>
    </i>
    <i>
      <x v="9"/>
    </i>
    <i>
      <x v="15"/>
    </i>
    <i>
      <x v="25"/>
    </i>
    <i>
      <x v="29"/>
    </i>
    <i>
      <x v="10"/>
    </i>
    <i>
      <x v="31"/>
    </i>
    <i>
      <x v="8"/>
    </i>
    <i>
      <x v="34"/>
    </i>
    <i>
      <x v="40"/>
    </i>
    <i>
      <x v="45"/>
    </i>
    <i>
      <x v="11"/>
    </i>
    <i>
      <x v="36"/>
    </i>
    <i>
      <x v="21"/>
    </i>
    <i>
      <x v="38"/>
    </i>
    <i>
      <x v="22"/>
    </i>
    <i>
      <x v="2"/>
    </i>
    <i>
      <x v="37"/>
    </i>
    <i>
      <x v="30"/>
    </i>
    <i>
      <x v="33"/>
    </i>
    <i>
      <x v="18"/>
    </i>
    <i>
      <x v="23"/>
    </i>
    <i>
      <x v="7"/>
    </i>
    <i>
      <x v="1"/>
    </i>
    <i>
      <x v="44"/>
    </i>
    <i>
      <x v="32"/>
    </i>
    <i>
      <x v="41"/>
    </i>
    <i>
      <x v="26"/>
    </i>
    <i>
      <x v="28"/>
    </i>
    <i>
      <x v="13"/>
    </i>
    <i>
      <x v="12"/>
    </i>
    <i>
      <x v="35"/>
    </i>
    <i>
      <x v="5"/>
    </i>
    <i>
      <x v="20"/>
    </i>
    <i t="grand">
      <x/>
    </i>
  </rowItems>
  <colItems count="1">
    <i/>
  </colItems>
  <pageFields count="1">
    <pageField fld="7" item="0" hier="-1"/>
  </pageFields>
  <dataFields count="1">
    <dataField name="Total Profit" fld="5" baseField="0" baseItem="0" numFmtId="164"/>
  </dataFields>
  <formats count="70">
    <format dxfId="154">
      <pivotArea grandRow="1" outline="0" collapsedLevelsAreSubtotals="1" fieldPosition="0"/>
    </format>
    <format dxfId="155">
      <pivotArea grandRow="1" outline="0" collapsedLevelsAreSubtotals="1" fieldPosition="0"/>
    </format>
    <format dxfId="156">
      <pivotArea grandRow="1" outline="0" collapsedLevelsAreSubtotals="1" fieldPosition="0"/>
    </format>
    <format dxfId="157">
      <pivotArea grandRow="1" outline="0" collapsedLevelsAreSubtotals="1" fieldPosition="0"/>
    </format>
    <format dxfId="158">
      <pivotArea outline="0" collapsedLevelsAreSubtotals="1" fieldPosition="0"/>
    </format>
    <format dxfId="159">
      <pivotArea outline="0" collapsedLevelsAreSubtotals="1" fieldPosition="0"/>
    </format>
    <format dxfId="160">
      <pivotArea outline="0" collapsedLevelsAreSubtotals="1" fieldPosition="0"/>
    </format>
    <format dxfId="161">
      <pivotArea outline="0" collapsedLevelsAreSubtotals="1" fieldPosition="0"/>
    </format>
    <format dxfId="162">
      <pivotArea outline="0" collapsedLevelsAreSubtotals="1" fieldPosition="0"/>
    </format>
    <format dxfId="163">
      <pivotArea outline="0" collapsedLevelsAreSubtotals="1" fieldPosition="0"/>
    </format>
    <format dxfId="164">
      <pivotArea outline="0" collapsedLevelsAreSubtotals="1" fieldPosition="0"/>
    </format>
    <format dxfId="165">
      <pivotArea outline="0" collapsedLevelsAreSubtotals="1" fieldPosition="0"/>
    </format>
    <format dxfId="166">
      <pivotArea outline="0" collapsedLevelsAreSubtotals="1" fieldPosition="0"/>
    </format>
    <format dxfId="167">
      <pivotArea outline="0" collapsedLevelsAreSubtotals="1" fieldPosition="0"/>
    </format>
    <format dxfId="168">
      <pivotArea outline="0" collapsedLevelsAreSubtotals="1" fieldPosition="0"/>
    </format>
    <format dxfId="169">
      <pivotArea outline="0" collapsedLevelsAreSubtotals="1" fieldPosition="0"/>
    </format>
    <format dxfId="170">
      <pivotArea grandRow="1" outline="0" collapsedLevelsAreSubtotals="1" fieldPosition="0"/>
    </format>
    <format dxfId="171">
      <pivotArea grandRow="1" outline="0" collapsedLevelsAreSubtotals="1" fieldPosition="0"/>
    </format>
    <format dxfId="172">
      <pivotArea dataOnly="0" labelOnly="1" outline="0" axis="axisValues" fieldPosition="0"/>
    </format>
    <format dxfId="173">
      <pivotArea dataOnly="0" labelOnly="1" outline="0" axis="axisValues" fieldPosition="0"/>
    </format>
    <format dxfId="174">
      <pivotArea outline="0" collapsedLevelsAreSubtotals="1" fieldPosition="0"/>
    </format>
    <format dxfId="175">
      <pivotArea dataOnly="0" labelOnly="1" outline="0" fieldPosition="0">
        <references count="1">
          <reference field="7" count="1">
            <x v="0"/>
          </reference>
        </references>
      </pivotArea>
    </format>
    <format dxfId="176">
      <pivotArea dataOnly="0" labelOnly="1" outline="0" axis="axisValues" fieldPosition="0"/>
    </format>
    <format dxfId="177">
      <pivotArea outline="0" collapsedLevelsAreSubtotals="1" fieldPosition="0"/>
    </format>
    <format dxfId="178">
      <pivotArea dataOnly="0" labelOnly="1" outline="0" fieldPosition="0">
        <references count="1">
          <reference field="7" count="1">
            <x v="0"/>
          </reference>
        </references>
      </pivotArea>
    </format>
    <format dxfId="179">
      <pivotArea dataOnly="0" labelOnly="1" outline="0" axis="axisValues" fieldPosition="0"/>
    </format>
    <format dxfId="180">
      <pivotArea type="all" dataOnly="0" outline="0" fieldPosition="0"/>
    </format>
    <format dxfId="181">
      <pivotArea outline="0" collapsedLevelsAreSubtotals="1" fieldPosition="0"/>
    </format>
    <format dxfId="182">
      <pivotArea field="1" type="button" dataOnly="0" labelOnly="1" outline="0" axis="axisRow" fieldPosition="0"/>
    </format>
    <format dxfId="183">
      <pivotArea dataOnly="0" labelOnly="1" outline="0" fieldPosition="0">
        <references count="1">
          <reference field="1" count="4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84">
      <pivotArea dataOnly="0" labelOnly="1" grandRow="1" outline="0" fieldPosition="0"/>
    </format>
    <format dxfId="185">
      <pivotArea dataOnly="0" labelOnly="1" outline="0" axis="axisValues" fieldPosition="0"/>
    </format>
    <format dxfId="186">
      <pivotArea type="all" dataOnly="0" outline="0" fieldPosition="0"/>
    </format>
    <format dxfId="187">
      <pivotArea outline="0" collapsedLevelsAreSubtotals="1" fieldPosition="0"/>
    </format>
    <format dxfId="188">
      <pivotArea field="1" type="button" dataOnly="0" labelOnly="1" outline="0" axis="axisRow" fieldPosition="0"/>
    </format>
    <format dxfId="189">
      <pivotArea dataOnly="0" labelOnly="1" outline="0" axis="axisValues" fieldPosition="0"/>
    </format>
    <format dxfId="190">
      <pivotArea dataOnly="0" labelOnly="1" outline="0" fieldPosition="0">
        <references count="1">
          <reference field="1" count="4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91">
      <pivotArea dataOnly="0" labelOnly="1" grandRow="1" outline="0" fieldPosition="0"/>
    </format>
    <format dxfId="192">
      <pivotArea dataOnly="0" labelOnly="1" outline="0" axis="axisValues" fieldPosition="0"/>
    </format>
    <format dxfId="193">
      <pivotArea type="all" dataOnly="0" outline="0" fieldPosition="0"/>
    </format>
    <format dxfId="194">
      <pivotArea outline="0" collapsedLevelsAreSubtotals="1" fieldPosition="0"/>
    </format>
    <format dxfId="195">
      <pivotArea field="1" type="button" dataOnly="0" labelOnly="1" outline="0" axis="axisRow" fieldPosition="0"/>
    </format>
    <format dxfId="196">
      <pivotArea dataOnly="0" labelOnly="1" outline="0" axis="axisValues" fieldPosition="0"/>
    </format>
    <format dxfId="197">
      <pivotArea dataOnly="0" labelOnly="1" outline="0" fieldPosition="0">
        <references count="1">
          <reference field="1" count="4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98">
      <pivotArea dataOnly="0" labelOnly="1" grandRow="1" outline="0" fieldPosition="0"/>
    </format>
    <format dxfId="199">
      <pivotArea dataOnly="0" labelOnly="1" outline="0" axis="axisValues" fieldPosition="0"/>
    </format>
    <format dxfId="200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01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02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03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04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05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06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07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08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09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10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11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12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13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14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15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16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17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18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19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20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21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22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223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2B841-6653-4101-B413-D6191E362FD4}" name="PivotTable1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4:F12" firstHeaderRow="1" firstDataRow="1" firstDataCol="1" rowPageCount="1" colPageCount="1"/>
  <pivotFields count="8">
    <pivotField axis="axisRow" compact="0" outline="0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outline="0" showAll="0">
      <items count="10">
        <item x="0"/>
        <item h="1" x="1"/>
        <item h="1" m="1" x="8"/>
        <item h="1" x="2"/>
        <item h="1" x="3"/>
        <item h="1" x="4"/>
        <item h="1" x="5"/>
        <item h="1" x="6"/>
        <item h="1" x="7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7" item="0" hier="-1"/>
  </pageFields>
  <dataFields count="1">
    <dataField name="Daily Profit" fld="5" baseField="0" baseItem="0" numFmtId="164"/>
  </dataFields>
  <formats count="67">
    <format dxfId="87">
      <pivotArea field="6" type="button" dataOnly="0" labelOnly="1" outline="0"/>
    </format>
    <format dxfId="88">
      <pivotArea dataOnly="0" labelOnly="1" outline="0" axis="axisValues" fieldPosition="0"/>
    </format>
    <format dxfId="89">
      <pivotArea field="6" type="button" dataOnly="0" labelOnly="1" outline="0"/>
    </format>
    <format dxfId="90">
      <pivotArea dataOnly="0" labelOnly="1" outline="0" axis="axisValues" fieldPosition="0"/>
    </format>
    <format dxfId="91">
      <pivotArea field="6" type="button" dataOnly="0" labelOnly="1" outline="0"/>
    </format>
    <format dxfId="92">
      <pivotArea dataOnly="0" labelOnly="1" outline="0" axis="axisValues" fieldPosition="0"/>
    </format>
    <format dxfId="93">
      <pivotArea dataOnly="0" labelOnly="1" outline="0" axis="axisValues" fieldPosition="0"/>
    </format>
    <format dxfId="94">
      <pivotArea field="6" type="button" dataOnly="0" labelOnly="1" outline="0"/>
    </format>
    <format dxfId="95">
      <pivotArea dataOnly="0" labelOnly="1" outline="0" axis="axisValues" fieldPosition="0"/>
    </format>
    <format dxfId="96">
      <pivotArea dataOnly="0" labelOnly="1" outline="0" axis="axisValues" fieldPosition="0"/>
    </format>
    <format dxfId="97">
      <pivotArea outline="0" collapsedLevelsAreSubtotals="1" fieldPosition="0"/>
    </format>
    <format dxfId="98">
      <pivotArea dataOnly="0" labelOnly="1" grandRow="1" outline="0" fieldPosition="0"/>
    </format>
    <format dxfId="99">
      <pivotArea outline="0" collapsedLevelsAreSubtotals="1" fieldPosition="0"/>
    </format>
    <format dxfId="100">
      <pivotArea dataOnly="0" labelOnly="1" grandRow="1" outline="0" fieldPosition="0"/>
    </format>
    <format dxfId="101">
      <pivotArea outline="0" collapsedLevelsAreSubtotals="1" fieldPosition="0"/>
    </format>
    <format dxfId="102">
      <pivotArea dataOnly="0" labelOnly="1" grandRow="1" outline="0" fieldPosition="0"/>
    </format>
    <format dxfId="103">
      <pivotArea outline="0" collapsedLevelsAreSubtotals="1" fieldPosition="0"/>
    </format>
    <format dxfId="104">
      <pivotArea dataOnly="0" labelOnly="1" grandRow="1" outline="0" fieldPosition="0"/>
    </format>
    <format dxfId="105">
      <pivotArea outline="0" collapsedLevelsAreSubtotals="1" fieldPosition="0"/>
    </format>
    <format dxfId="106">
      <pivotArea dataOnly="0" labelOnly="1" grandRow="1" outline="0" fieldPosition="0"/>
    </format>
    <format dxfId="107">
      <pivotArea outline="0" collapsedLevelsAreSubtotals="1" fieldPosition="0"/>
    </format>
    <format dxfId="108">
      <pivotArea dataOnly="0" labelOnly="1" grandRow="1" outline="0" fieldPosition="0"/>
    </format>
    <format dxfId="109">
      <pivotArea outline="0" collapsedLevelsAreSubtotals="1" fieldPosition="0"/>
    </format>
    <format dxfId="110">
      <pivotArea dataOnly="0" labelOnly="1" grandRow="1" outline="0" fieldPosition="0"/>
    </format>
    <format dxfId="111">
      <pivotArea outline="0" collapsedLevelsAreSubtotals="1" fieldPosition="0"/>
    </format>
    <format dxfId="112">
      <pivotArea dataOnly="0" labelOnly="1" grandRow="1" outline="0" fieldPosition="0"/>
    </format>
    <format dxfId="113">
      <pivotArea outline="0" collapsedLevelsAreSubtotals="1" fieldPosition="0"/>
    </format>
    <format dxfId="114">
      <pivotArea outline="0" collapsedLevelsAreSubtotals="1" fieldPosition="0"/>
    </format>
    <format dxfId="115">
      <pivotArea outline="0" collapsedLevelsAreSubtotals="1" fieldPosition="0"/>
    </format>
    <format dxfId="116">
      <pivotArea outline="0" collapsedLevelsAreSubtotals="1" fieldPosition="0"/>
    </format>
    <format dxfId="117">
      <pivotArea outline="0" collapsedLevelsAreSubtotals="1" fieldPosition="0"/>
    </format>
    <format dxfId="118">
      <pivotArea outline="0" collapsedLevelsAreSubtotals="1" fieldPosition="0"/>
    </format>
    <format dxfId="119">
      <pivotArea outline="0" collapsedLevelsAreSubtotals="1" fieldPosition="0"/>
    </format>
    <format dxfId="120">
      <pivotArea outline="0" collapsedLevelsAreSubtotals="1" fieldPosition="0"/>
    </format>
    <format dxfId="121">
      <pivotArea outline="0" collapsedLevelsAreSubtotals="1" fieldPosition="0"/>
    </format>
    <format dxfId="122">
      <pivotArea outline="0" collapsedLevelsAreSubtotals="1" fieldPosition="0"/>
    </format>
    <format dxfId="123">
      <pivotArea outline="0" collapsedLevelsAreSubtotals="1" fieldPosition="0"/>
    </format>
    <format dxfId="124">
      <pivotArea outline="0" collapsedLevelsAreSubtotals="1" fieldPosition="0"/>
    </format>
    <format dxfId="125">
      <pivotArea outline="0" collapsedLevelsAreSubtotals="1" fieldPosition="0"/>
    </format>
    <format dxfId="126">
      <pivotArea dataOnly="0" labelOnly="1" outline="0" axis="axisValues" fieldPosition="0"/>
    </format>
    <format dxfId="127">
      <pivotArea dataOnly="0" labelOnly="1" outline="0" axis="axisValues" fieldPosition="0"/>
    </format>
    <format dxfId="128">
      <pivotArea outline="0" collapsedLevelsAreSubtotals="1" fieldPosition="0"/>
    </format>
    <format dxfId="129">
      <pivotArea dataOnly="0" labelOnly="1" grandRow="1" outline="0" fieldPosition="0"/>
    </format>
    <format dxfId="130">
      <pivotArea type="all" dataOnly="0" outline="0" fieldPosition="0"/>
    </format>
    <format dxfId="131">
      <pivotArea outline="0" collapsedLevelsAreSubtotals="1" fieldPosition="0"/>
    </format>
    <format dxfId="132">
      <pivotArea field="6" type="button" dataOnly="0" labelOnly="1" outline="0"/>
    </format>
    <format dxfId="133">
      <pivotArea dataOnly="0" labelOnly="1" grandRow="1" outline="0" fieldPosition="0"/>
    </format>
    <format dxfId="134">
      <pivotArea dataOnly="0" labelOnly="1" outline="0" axis="axisValues" fieldPosition="0"/>
    </format>
    <format dxfId="135">
      <pivotArea dataOnly="0" labelOnly="1" outline="0" axis="axisValues" fieldPosition="0"/>
    </format>
    <format dxfId="136">
      <pivotArea dataOnly="0" labelOnly="1" outline="0" axis="axisValues" fieldPosition="0"/>
    </format>
    <format dxfId="137">
      <pivotArea dataOnly="0" labelOnly="1" outline="0" axis="axisValues" fieldPosition="0"/>
    </format>
    <format dxfId="138">
      <pivotArea dataOnly="0" labelOnly="1" outline="0" axis="axisValues" fieldPosition="0"/>
    </format>
    <format dxfId="139">
      <pivotArea grandRow="1" outline="0" collapsedLevelsAreSubtotals="1" fieldPosition="0"/>
    </format>
    <format dxfId="140">
      <pivotArea grandRow="1" outline="0" collapsedLevelsAreSubtotals="1" fieldPosition="0"/>
    </format>
    <format dxfId="141">
      <pivotArea dataOnly="0" labelOnly="1" outline="0" axis="axisValues" fieldPosition="0"/>
    </format>
    <format dxfId="142">
      <pivotArea dataOnly="0" labelOnly="1" outline="0" axis="axisValues" fieldPosition="0"/>
    </format>
    <format dxfId="143">
      <pivotArea dataOnly="0" labelOnly="1" outline="0" axis="axisValues" fieldPosition="0"/>
    </format>
    <format dxfId="144">
      <pivotArea dataOnly="0" labelOnly="1" outline="0" fieldPosition="0">
        <references count="1">
          <reference field="0" count="7">
            <x v="0"/>
            <x v="1"/>
            <x v="2"/>
            <x v="3"/>
            <x v="4"/>
            <x v="5"/>
            <x v="6"/>
          </reference>
        </references>
      </pivotArea>
    </format>
    <format dxfId="145">
      <pivotArea field="0" type="button" dataOnly="0" labelOnly="1" outline="0" axis="axisRow" fieldPosition="0"/>
    </format>
    <format dxfId="146">
      <pivotArea dataOnly="0" labelOnly="1" outline="0" axis="axisValues" fieldPosition="0"/>
    </format>
    <format dxfId="147">
      <pivotArea dataOnly="0" labelOnly="1" outline="0" axis="axisValues" fieldPosition="0"/>
    </format>
    <format dxfId="148">
      <pivotArea dataOnly="0" labelOnly="1" outline="0" axis="axisValues" fieldPosition="0"/>
    </format>
    <format dxfId="149">
      <pivotArea dataOnly="0" labelOnly="1" outline="0" axis="axisValues" fieldPosition="0"/>
    </format>
    <format dxfId="150">
      <pivotArea dataOnly="0" labelOnly="1" outline="0" axis="axisValues" fieldPosition="0"/>
    </format>
    <format dxfId="151">
      <pivotArea dataOnly="0" labelOnly="1" outline="0" axis="axisValues" fieldPosition="0"/>
    </format>
    <format dxfId="152">
      <pivotArea dataOnly="0" labelOnly="1" outline="0" axis="axisValues" fieldPosition="0"/>
    </format>
    <format dxfId="15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8B3FE-6C4C-4DC5-8066-CB31A8088DE5}" name="PivotTable1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4:F12" firstHeaderRow="1" firstDataRow="1" firstDataCol="1" rowPageCount="1" colPageCount="1"/>
  <pivotFields count="8">
    <pivotField axis="axisRow" compact="0" outline="0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axis="axisPage" compact="0" outline="0" showAll="0">
      <items count="10">
        <item h="1" x="0"/>
        <item x="1"/>
        <item m="1" x="8"/>
        <item h="1" x="2"/>
        <item h="1" x="3"/>
        <item h="1" x="4"/>
        <item h="1" x="5"/>
        <item h="1" x="6"/>
        <item h="1" x="7"/>
        <item t="default"/>
      </items>
    </pivotField>
  </pivotFields>
  <rowFields count="1">
    <field x="0"/>
  </rowFields>
  <rowItems count="8"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1">
    <pageField fld="7" item="1" hier="-1"/>
  </pageFields>
  <dataFields count="1">
    <dataField name="Daily Profit" fld="5" baseField="0" baseItem="0" numFmtId="164"/>
  </dataFields>
  <formats count="6">
    <format dxfId="81">
      <pivotArea type="all" dataOnly="0" outline="0" fieldPosition="0"/>
    </format>
    <format dxfId="82">
      <pivotArea outline="0" collapsedLevelsAreSubtotals="1" fieldPosition="0"/>
    </format>
    <format dxfId="83">
      <pivotArea field="0" type="button" dataOnly="0" labelOnly="1" outline="0" axis="axisRow" fieldPosition="0"/>
    </format>
    <format dxfId="84">
      <pivotArea dataOnly="0" labelOnly="1" outline="0" fieldPosition="0">
        <references count="1">
          <reference field="0" count="7">
            <x v="7"/>
            <x v="8"/>
            <x v="9"/>
            <x v="10"/>
            <x v="11"/>
            <x v="12"/>
            <x v="13"/>
          </reference>
        </references>
      </pivotArea>
    </format>
    <format dxfId="85">
      <pivotArea dataOnly="0" labelOnly="1" grandRow="1" outline="0" fieldPosition="0"/>
    </format>
    <format dxfId="86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1FFD4-F75A-4F5C-82F7-2D52587F76B0}" name="PivotTable3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Y4:Z55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54">
        <item x="2"/>
        <item x="80"/>
        <item x="29"/>
        <item x="28"/>
        <item x="78"/>
        <item x="65"/>
        <item x="0"/>
        <item x="77"/>
        <item x="66"/>
        <item x="64"/>
        <item x="38"/>
        <item x="46"/>
        <item x="45"/>
        <item x="61"/>
        <item x="36"/>
        <item x="60"/>
        <item x="26"/>
        <item x="39"/>
        <item x="40"/>
        <item x="18"/>
        <item x="8"/>
        <item x="17"/>
        <item x="21"/>
        <item x="76"/>
        <item x="69"/>
        <item x="20"/>
        <item x="70"/>
        <item x="16"/>
        <item x="19"/>
        <item x="68"/>
        <item x="67"/>
        <item x="58"/>
        <item x="41"/>
        <item x="52"/>
        <item x="51"/>
        <item x="55"/>
        <item x="53"/>
        <item x="63"/>
        <item x="42"/>
        <item x="11"/>
        <item x="34"/>
        <item x="10"/>
        <item x="9"/>
        <item x="12"/>
        <item x="71"/>
        <item x="37"/>
        <item x="73"/>
        <item x="22"/>
        <item x="5"/>
        <item x="23"/>
        <item x="33"/>
        <item x="32"/>
        <item x="57"/>
        <item x="3"/>
        <item x="79"/>
        <item x="35"/>
        <item x="1"/>
        <item x="14"/>
        <item x="49"/>
        <item x="44"/>
        <item x="48"/>
        <item x="31"/>
        <item x="50"/>
        <item x="72"/>
        <item x="6"/>
        <item x="30"/>
        <item x="54"/>
        <item x="4"/>
        <item x="47"/>
        <item x="75"/>
        <item x="13"/>
        <item x="24"/>
        <item x="62"/>
        <item x="56"/>
        <item x="43"/>
        <item x="74"/>
        <item x="15"/>
        <item x="7"/>
        <item x="59"/>
        <item x="25"/>
        <item x="27"/>
        <item x="137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Page" compact="0" outline="0" showAll="0">
      <items count="10">
        <item h="1" x="0"/>
        <item x="1"/>
        <item m="1" x="8"/>
        <item h="1" x="2"/>
        <item h="1" x="3"/>
        <item h="1" x="4"/>
        <item h="1" x="5"/>
        <item h="1" x="6"/>
        <item h="1" x="7"/>
        <item t="default"/>
      </items>
    </pivotField>
  </pivotFields>
  <rowFields count="1">
    <field x="1"/>
  </rowFields>
  <rowItems count="51">
    <i>
      <x v="35"/>
    </i>
    <i>
      <x v="33"/>
    </i>
    <i>
      <x v="15"/>
    </i>
    <i>
      <x v="78"/>
    </i>
    <i>
      <x v="40"/>
    </i>
    <i>
      <x v="34"/>
    </i>
    <i>
      <x v="6"/>
    </i>
    <i>
      <x v="50"/>
    </i>
    <i>
      <x v="42"/>
    </i>
    <i>
      <x v="19"/>
    </i>
    <i>
      <x v="3"/>
    </i>
    <i>
      <x v="58"/>
    </i>
    <i>
      <x v="1"/>
    </i>
    <i>
      <x v="77"/>
    </i>
    <i>
      <x v="2"/>
    </i>
    <i>
      <x/>
    </i>
    <i>
      <x v="37"/>
    </i>
    <i>
      <x v="8"/>
    </i>
    <i>
      <x v="39"/>
    </i>
    <i>
      <x v="54"/>
    </i>
    <i>
      <x v="31"/>
    </i>
    <i>
      <x v="73"/>
    </i>
    <i>
      <x v="24"/>
    </i>
    <i>
      <x v="69"/>
    </i>
    <i>
      <x v="26"/>
    </i>
    <i>
      <x v="11"/>
    </i>
    <i>
      <x v="5"/>
    </i>
    <i>
      <x v="36"/>
    </i>
    <i>
      <x v="29"/>
    </i>
    <i>
      <x v="72"/>
    </i>
    <i>
      <x v="66"/>
    </i>
    <i>
      <x v="27"/>
    </i>
    <i>
      <x v="9"/>
    </i>
    <i>
      <x v="7"/>
    </i>
    <i>
      <x v="13"/>
    </i>
    <i>
      <x v="44"/>
    </i>
    <i>
      <x v="4"/>
    </i>
    <i>
      <x v="76"/>
    </i>
    <i>
      <x v="52"/>
    </i>
    <i>
      <x v="20"/>
    </i>
    <i>
      <x v="43"/>
    </i>
    <i>
      <x v="60"/>
    </i>
    <i>
      <x v="12"/>
    </i>
    <i>
      <x v="62"/>
    </i>
    <i>
      <x v="75"/>
    </i>
    <i>
      <x v="63"/>
    </i>
    <i>
      <x v="23"/>
    </i>
    <i>
      <x v="30"/>
    </i>
    <i>
      <x v="68"/>
    </i>
    <i>
      <x v="46"/>
    </i>
    <i t="grand">
      <x/>
    </i>
  </rowItems>
  <colItems count="1">
    <i/>
  </colItems>
  <pageFields count="1">
    <pageField fld="7" item="1" hier="-1"/>
  </pageFields>
  <dataFields count="1">
    <dataField name="Units Sold" fld="2" baseField="0" baseItem="0"/>
  </dataFields>
  <formats count="6">
    <format dxfId="75">
      <pivotArea type="all" dataOnly="0" outline="0" fieldPosition="0"/>
    </format>
    <format dxfId="76">
      <pivotArea outline="0" collapsedLevelsAreSubtotals="1" fieldPosition="0"/>
    </format>
    <format dxfId="77">
      <pivotArea field="1" type="button" dataOnly="0" labelOnly="1" outline="0" axis="axisRow" fieldPosition="0"/>
    </format>
    <format dxfId="78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  <x v="13"/>
            <x v="15"/>
            <x v="19"/>
            <x v="20"/>
            <x v="23"/>
            <x v="24"/>
            <x v="26"/>
            <x v="27"/>
            <x v="29"/>
            <x v="30"/>
            <x v="31"/>
            <x v="33"/>
            <x v="34"/>
            <x v="35"/>
            <x v="36"/>
            <x v="37"/>
            <x v="39"/>
            <x v="40"/>
            <x v="42"/>
            <x v="43"/>
            <x v="44"/>
            <x v="46"/>
            <x v="50"/>
            <x v="52"/>
            <x v="54"/>
            <x v="58"/>
            <x v="60"/>
            <x v="62"/>
            <x v="63"/>
            <x v="66"/>
            <x v="68"/>
            <x v="69"/>
            <x v="72"/>
            <x v="73"/>
            <x v="75"/>
            <x v="76"/>
            <x v="77"/>
            <x v="78"/>
          </reference>
        </references>
      </pivotArea>
    </format>
    <format dxfId="79">
      <pivotArea dataOnly="0" labelOnly="1" grandRow="1" outline="0" fieldPosition="0"/>
    </format>
    <format dxfId="8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CE9CB-6B48-43BD-825C-25717F612DCC}" name="PivotTable2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N4:O55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54">
        <item x="2"/>
        <item x="80"/>
        <item x="29"/>
        <item x="28"/>
        <item x="78"/>
        <item x="65"/>
        <item x="0"/>
        <item x="77"/>
        <item x="66"/>
        <item x="64"/>
        <item x="38"/>
        <item x="46"/>
        <item x="45"/>
        <item x="61"/>
        <item x="36"/>
        <item x="60"/>
        <item x="26"/>
        <item x="39"/>
        <item x="40"/>
        <item x="18"/>
        <item x="8"/>
        <item x="17"/>
        <item x="21"/>
        <item x="76"/>
        <item x="69"/>
        <item x="20"/>
        <item x="70"/>
        <item x="16"/>
        <item x="19"/>
        <item x="68"/>
        <item x="67"/>
        <item x="58"/>
        <item x="41"/>
        <item x="52"/>
        <item x="51"/>
        <item x="55"/>
        <item x="53"/>
        <item x="63"/>
        <item x="42"/>
        <item x="11"/>
        <item x="34"/>
        <item x="10"/>
        <item x="9"/>
        <item x="12"/>
        <item x="71"/>
        <item x="37"/>
        <item x="73"/>
        <item x="22"/>
        <item x="5"/>
        <item x="23"/>
        <item x="33"/>
        <item x="32"/>
        <item x="57"/>
        <item x="3"/>
        <item x="79"/>
        <item x="35"/>
        <item x="1"/>
        <item x="14"/>
        <item x="49"/>
        <item x="44"/>
        <item x="48"/>
        <item x="31"/>
        <item x="50"/>
        <item x="72"/>
        <item x="6"/>
        <item x="30"/>
        <item x="54"/>
        <item x="4"/>
        <item x="47"/>
        <item x="75"/>
        <item x="13"/>
        <item x="24"/>
        <item x="62"/>
        <item x="56"/>
        <item x="43"/>
        <item x="74"/>
        <item x="15"/>
        <item x="7"/>
        <item x="59"/>
        <item x="25"/>
        <item x="27"/>
        <item x="137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Page" compact="0" outline="0" showAll="0">
      <items count="10">
        <item h="1" x="0"/>
        <item x="1"/>
        <item m="1" x="8"/>
        <item h="1" x="2"/>
        <item h="1" x="3"/>
        <item h="1" x="4"/>
        <item h="1" x="5"/>
        <item h="1" x="6"/>
        <item h="1" x="7"/>
        <item t="default"/>
      </items>
    </pivotField>
  </pivotFields>
  <rowFields count="1">
    <field x="1"/>
  </rowFields>
  <rowItems count="51">
    <i>
      <x v="31"/>
    </i>
    <i>
      <x v="42"/>
    </i>
    <i>
      <x v="6"/>
    </i>
    <i>
      <x v="4"/>
    </i>
    <i>
      <x v="34"/>
    </i>
    <i>
      <x/>
    </i>
    <i>
      <x v="63"/>
    </i>
    <i>
      <x v="50"/>
    </i>
    <i>
      <x v="77"/>
    </i>
    <i>
      <x v="72"/>
    </i>
    <i>
      <x v="35"/>
    </i>
    <i>
      <x v="66"/>
    </i>
    <i>
      <x v="73"/>
    </i>
    <i>
      <x v="76"/>
    </i>
    <i>
      <x v="44"/>
    </i>
    <i>
      <x v="12"/>
    </i>
    <i>
      <x v="52"/>
    </i>
    <i>
      <x v="13"/>
    </i>
    <i>
      <x v="19"/>
    </i>
    <i>
      <x v="40"/>
    </i>
    <i>
      <x v="8"/>
    </i>
    <i>
      <x v="15"/>
    </i>
    <i>
      <x v="27"/>
    </i>
    <i>
      <x v="33"/>
    </i>
    <i>
      <x v="46"/>
    </i>
    <i>
      <x v="23"/>
    </i>
    <i>
      <x v="3"/>
    </i>
    <i>
      <x v="69"/>
    </i>
    <i>
      <x v="60"/>
    </i>
    <i>
      <x v="26"/>
    </i>
    <i>
      <x v="29"/>
    </i>
    <i>
      <x v="39"/>
    </i>
    <i>
      <x v="37"/>
    </i>
    <i>
      <x v="75"/>
    </i>
    <i>
      <x v="43"/>
    </i>
    <i>
      <x v="24"/>
    </i>
    <i>
      <x v="11"/>
    </i>
    <i>
      <x v="1"/>
    </i>
    <i>
      <x v="36"/>
    </i>
    <i>
      <x v="62"/>
    </i>
    <i>
      <x v="30"/>
    </i>
    <i>
      <x v="5"/>
    </i>
    <i>
      <x v="7"/>
    </i>
    <i>
      <x v="58"/>
    </i>
    <i>
      <x v="54"/>
    </i>
    <i>
      <x v="78"/>
    </i>
    <i>
      <x v="9"/>
    </i>
    <i>
      <x v="20"/>
    </i>
    <i>
      <x v="2"/>
    </i>
    <i>
      <x v="68"/>
    </i>
    <i t="grand">
      <x/>
    </i>
  </rowItems>
  <colItems count="1">
    <i/>
  </colItems>
  <pageFields count="1">
    <pageField fld="7" item="1" hier="-1"/>
  </pageFields>
  <dataFields count="1">
    <dataField name="Total Profit" fld="5" baseField="0" baseItem="0" numFmtId="164"/>
  </dataFields>
  <formats count="6">
    <format dxfId="69">
      <pivotArea type="all" dataOnly="0" outline="0" fieldPosition="0"/>
    </format>
    <format dxfId="70">
      <pivotArea outline="0" collapsedLevelsAreSubtotals="1" fieldPosition="0"/>
    </format>
    <format dxfId="71">
      <pivotArea field="1" type="button" dataOnly="0" labelOnly="1" outline="0" axis="axisRow" fieldPosition="0"/>
    </format>
    <format dxfId="72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  <x v="13"/>
            <x v="15"/>
            <x v="19"/>
            <x v="20"/>
            <x v="23"/>
            <x v="24"/>
            <x v="26"/>
            <x v="27"/>
            <x v="29"/>
            <x v="30"/>
            <x v="31"/>
            <x v="33"/>
            <x v="34"/>
            <x v="35"/>
            <x v="36"/>
            <x v="37"/>
            <x v="39"/>
            <x v="40"/>
            <x v="42"/>
            <x v="43"/>
            <x v="44"/>
            <x v="46"/>
            <x v="50"/>
            <x v="52"/>
            <x v="54"/>
            <x v="58"/>
            <x v="60"/>
            <x v="62"/>
            <x v="63"/>
            <x v="66"/>
            <x v="68"/>
            <x v="69"/>
            <x v="72"/>
            <x v="73"/>
            <x v="75"/>
            <x v="76"/>
            <x v="77"/>
            <x v="78"/>
          </reference>
        </references>
      </pivotArea>
    </format>
    <format dxfId="73">
      <pivotArea dataOnly="0" labelOnly="1" grandRow="1" outline="0" fieldPosition="0"/>
    </format>
    <format dxfId="74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1493F-CB39-48FE-976B-B4229534AFE3}" name="PivotTable2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24:C69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54">
        <item x="2"/>
        <item x="80"/>
        <item x="29"/>
        <item x="28"/>
        <item x="78"/>
        <item x="65"/>
        <item x="0"/>
        <item x="77"/>
        <item x="66"/>
        <item x="64"/>
        <item x="38"/>
        <item x="46"/>
        <item x="95"/>
        <item x="45"/>
        <item x="61"/>
        <item x="82"/>
        <item x="36"/>
        <item x="60"/>
        <item x="26"/>
        <item x="39"/>
        <item x="40"/>
        <item x="18"/>
        <item x="8"/>
        <item x="17"/>
        <item x="21"/>
        <item x="76"/>
        <item x="69"/>
        <item x="20"/>
        <item x="70"/>
        <item x="16"/>
        <item x="19"/>
        <item x="68"/>
        <item x="67"/>
        <item x="58"/>
        <item x="41"/>
        <item x="81"/>
        <item x="52"/>
        <item x="51"/>
        <item x="55"/>
        <item x="53"/>
        <item x="63"/>
        <item x="83"/>
        <item x="42"/>
        <item x="11"/>
        <item x="34"/>
        <item x="10"/>
        <item x="93"/>
        <item x="94"/>
        <item x="9"/>
        <item x="12"/>
        <item x="92"/>
        <item x="98"/>
        <item x="71"/>
        <item x="37"/>
        <item x="73"/>
        <item x="89"/>
        <item x="90"/>
        <item x="88"/>
        <item x="91"/>
        <item x="22"/>
        <item x="5"/>
        <item x="96"/>
        <item x="23"/>
        <item x="33"/>
        <item x="87"/>
        <item x="32"/>
        <item x="57"/>
        <item x="3"/>
        <item x="79"/>
        <item x="35"/>
        <item x="1"/>
        <item x="84"/>
        <item x="14"/>
        <item x="49"/>
        <item x="85"/>
        <item x="44"/>
        <item x="48"/>
        <item x="31"/>
        <item x="50"/>
        <item x="72"/>
        <item x="6"/>
        <item x="97"/>
        <item x="30"/>
        <item x="54"/>
        <item x="4"/>
        <item x="47"/>
        <item x="75"/>
        <item x="13"/>
        <item x="24"/>
        <item x="62"/>
        <item x="56"/>
        <item x="43"/>
        <item x="74"/>
        <item x="15"/>
        <item x="7"/>
        <item x="59"/>
        <item x="86"/>
        <item x="25"/>
        <item x="27"/>
        <item x="137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Page" compact="0" outline="0" showAll="0">
      <items count="10">
        <item h="1" x="0"/>
        <item h="1" x="1"/>
        <item x="2"/>
        <item m="1" x="8"/>
        <item h="1" x="3"/>
        <item h="1" x="4"/>
        <item h="1" x="5"/>
        <item h="1" x="6"/>
        <item h="1" x="7"/>
        <item t="default"/>
      </items>
    </pivotField>
  </pivotFields>
  <rowFields count="1">
    <field x="1"/>
  </rowFields>
  <rowItems count="45">
    <i>
      <x v="12"/>
    </i>
    <i>
      <x v="57"/>
    </i>
    <i>
      <x v="88"/>
    </i>
    <i>
      <x v="94"/>
    </i>
    <i>
      <x v="37"/>
    </i>
    <i>
      <x v="61"/>
    </i>
    <i>
      <x v="48"/>
    </i>
    <i>
      <x v="71"/>
    </i>
    <i>
      <x v="55"/>
    </i>
    <i>
      <x v="29"/>
    </i>
    <i>
      <x v="43"/>
    </i>
    <i>
      <x v="79"/>
    </i>
    <i>
      <x v="58"/>
    </i>
    <i>
      <x v="56"/>
    </i>
    <i>
      <x v="65"/>
    </i>
    <i>
      <x v="74"/>
    </i>
    <i>
      <x v="11"/>
    </i>
    <i>
      <x v="83"/>
    </i>
    <i>
      <x v="47"/>
    </i>
    <i>
      <x v="18"/>
    </i>
    <i>
      <x v="46"/>
    </i>
    <i>
      <x v="81"/>
    </i>
    <i>
      <x v="28"/>
    </i>
    <i>
      <x v="50"/>
    </i>
    <i>
      <x v="54"/>
    </i>
    <i>
      <x v="35"/>
    </i>
    <i>
      <x v="95"/>
    </i>
    <i>
      <x v="15"/>
    </i>
    <i>
      <x v="45"/>
    </i>
    <i>
      <x v="27"/>
    </i>
    <i>
      <x v="40"/>
    </i>
    <i>
      <x v="14"/>
    </i>
    <i>
      <x v="92"/>
    </i>
    <i>
      <x v="52"/>
    </i>
    <i>
      <x v="36"/>
    </i>
    <i>
      <x v="64"/>
    </i>
    <i>
      <x v="96"/>
    </i>
    <i>
      <x v="59"/>
    </i>
    <i>
      <x v="97"/>
    </i>
    <i>
      <x v="51"/>
    </i>
    <i>
      <x v="87"/>
    </i>
    <i>
      <x v="41"/>
    </i>
    <i>
      <x v="98"/>
    </i>
    <i>
      <x v="44"/>
    </i>
    <i t="grand">
      <x/>
    </i>
  </rowItems>
  <colItems count="1">
    <i/>
  </colItems>
  <pageFields count="1">
    <pageField fld="7" item="2" hier="-1"/>
  </pageFields>
  <dataFields count="1">
    <dataField name="Total Profit" fld="5" baseField="0" baseItem="0" numFmtId="164"/>
  </dataFields>
  <formats count="6">
    <format dxfId="63">
      <pivotArea type="all" dataOnly="0" outline="0" fieldPosition="0"/>
    </format>
    <format dxfId="64">
      <pivotArea outline="0" collapsedLevelsAreSubtotals="1" fieldPosition="0"/>
    </format>
    <format dxfId="65">
      <pivotArea field="1" type="button" dataOnly="0" labelOnly="1" outline="0" axis="axisRow" fieldPosition="0"/>
    </format>
    <format dxfId="66">
      <pivotArea dataOnly="0" labelOnly="1" outline="0" fieldPosition="0">
        <references count="1">
          <reference field="1" count="44">
            <x v="11"/>
            <x v="12"/>
            <x v="14"/>
            <x v="15"/>
            <x v="18"/>
            <x v="27"/>
            <x v="28"/>
            <x v="29"/>
            <x v="35"/>
            <x v="36"/>
            <x v="37"/>
            <x v="40"/>
            <x v="41"/>
            <x v="43"/>
            <x v="44"/>
            <x v="45"/>
            <x v="46"/>
            <x v="47"/>
            <x v="48"/>
            <x v="50"/>
            <x v="51"/>
            <x v="52"/>
            <x v="54"/>
            <x v="55"/>
            <x v="56"/>
            <x v="57"/>
            <x v="58"/>
            <x v="59"/>
            <x v="61"/>
            <x v="64"/>
            <x v="65"/>
            <x v="71"/>
            <x v="74"/>
            <x v="79"/>
            <x v="81"/>
            <x v="83"/>
            <x v="87"/>
            <x v="88"/>
            <x v="92"/>
            <x v="94"/>
            <x v="95"/>
            <x v="96"/>
            <x v="97"/>
            <x v="98"/>
          </reference>
        </references>
      </pivotArea>
    </format>
    <format dxfId="67">
      <pivotArea dataOnly="0" labelOnly="1" grandRow="1" outline="0" fieldPosition="0"/>
    </format>
    <format dxfId="68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F1D17-32C1-49A8-BC03-6949EAE3C259}" name="PivotTable1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4:C12" firstHeaderRow="1" firstDataRow="1" firstDataCol="1" rowPageCount="1" colPageCount="1"/>
  <pivotFields count="8">
    <pivotField axis="axisRow" compact="0" numFmtId="14" outline="0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Page" compact="0" outline="0" showAll="0">
      <items count="10">
        <item h="1" x="0"/>
        <item h="1" x="1"/>
        <item m="1" x="8"/>
        <item x="2"/>
        <item h="1" x="3"/>
        <item h="1" x="4"/>
        <item h="1" x="5"/>
        <item h="1" x="6"/>
        <item h="1" x="7"/>
        <item t="default"/>
      </items>
    </pivotField>
  </pivotFields>
  <rowFields count="1">
    <field x="0"/>
  </rowFields>
  <rowItems count="8"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1">
    <pageField fld="7" item="3" hier="-1"/>
  </pageFields>
  <dataFields count="1">
    <dataField name="Daily Profit" fld="5" baseField="0" baseItem="0" numFmtId="164"/>
  </dataFields>
  <formats count="6">
    <format dxfId="57">
      <pivotArea type="all" dataOnly="0" outline="0" fieldPosition="0"/>
    </format>
    <format dxfId="58">
      <pivotArea outline="0" collapsedLevelsAreSubtotals="1" fieldPosition="0"/>
    </format>
    <format dxfId="59">
      <pivotArea field="0" type="button" dataOnly="0" labelOnly="1" outline="0" axis="axisRow" fieldPosition="0"/>
    </format>
    <format dxfId="60">
      <pivotArea dataOnly="0" labelOnly="1" outline="0" fieldPosition="0">
        <references count="1">
          <reference field="0" count="7">
            <x v="14"/>
            <x v="15"/>
            <x v="16"/>
            <x v="17"/>
            <x v="18"/>
            <x v="19"/>
            <x v="20"/>
          </reference>
        </references>
      </pivotArea>
    </format>
    <format dxfId="61">
      <pivotArea dataOnly="0" labelOnly="1" grandRow="1" outline="0" fieldPosition="0"/>
    </format>
    <format dxfId="62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ADA65-697C-403F-B9A5-3A73B8D02D24}" name="PivotTable3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80:C125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54">
        <item x="2"/>
        <item x="80"/>
        <item x="29"/>
        <item x="28"/>
        <item x="78"/>
        <item x="65"/>
        <item x="0"/>
        <item x="77"/>
        <item x="66"/>
        <item x="64"/>
        <item x="38"/>
        <item x="46"/>
        <item x="95"/>
        <item x="45"/>
        <item x="61"/>
        <item x="82"/>
        <item x="36"/>
        <item x="60"/>
        <item x="26"/>
        <item x="39"/>
        <item x="40"/>
        <item x="18"/>
        <item x="8"/>
        <item x="17"/>
        <item x="21"/>
        <item x="76"/>
        <item x="69"/>
        <item x="20"/>
        <item x="70"/>
        <item x="16"/>
        <item x="19"/>
        <item x="68"/>
        <item x="67"/>
        <item x="58"/>
        <item x="41"/>
        <item x="81"/>
        <item x="52"/>
        <item x="51"/>
        <item x="55"/>
        <item x="53"/>
        <item x="63"/>
        <item x="83"/>
        <item x="42"/>
        <item x="11"/>
        <item x="34"/>
        <item x="10"/>
        <item x="93"/>
        <item x="94"/>
        <item x="9"/>
        <item x="12"/>
        <item x="92"/>
        <item x="98"/>
        <item x="71"/>
        <item x="37"/>
        <item x="73"/>
        <item x="89"/>
        <item x="90"/>
        <item x="88"/>
        <item x="91"/>
        <item x="22"/>
        <item x="5"/>
        <item x="96"/>
        <item x="23"/>
        <item x="33"/>
        <item x="87"/>
        <item x="32"/>
        <item x="57"/>
        <item x="3"/>
        <item x="79"/>
        <item x="35"/>
        <item x="1"/>
        <item x="84"/>
        <item x="14"/>
        <item x="49"/>
        <item x="85"/>
        <item x="44"/>
        <item x="48"/>
        <item x="31"/>
        <item x="50"/>
        <item x="72"/>
        <item x="6"/>
        <item x="97"/>
        <item x="30"/>
        <item x="54"/>
        <item x="4"/>
        <item x="47"/>
        <item x="75"/>
        <item x="13"/>
        <item x="24"/>
        <item x="62"/>
        <item x="56"/>
        <item x="43"/>
        <item x="74"/>
        <item x="15"/>
        <item x="7"/>
        <item x="59"/>
        <item x="86"/>
        <item x="25"/>
        <item x="27"/>
        <item x="137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Page" compact="0" outline="0" showAll="0">
      <items count="10">
        <item h="1" x="0"/>
        <item h="1" x="1"/>
        <item x="2"/>
        <item m="1" x="8"/>
        <item h="1" x="3"/>
        <item h="1" x="4"/>
        <item h="1" x="5"/>
        <item h="1" x="6"/>
        <item h="1" x="7"/>
        <item t="default"/>
      </items>
    </pivotField>
  </pivotFields>
  <rowFields count="1">
    <field x="1"/>
  </rowFields>
  <rowItems count="45">
    <i>
      <x v="95"/>
    </i>
    <i>
      <x v="47"/>
    </i>
    <i>
      <x v="35"/>
    </i>
    <i>
      <x v="37"/>
    </i>
    <i>
      <x v="56"/>
    </i>
    <i>
      <x v="27"/>
    </i>
    <i>
      <x v="94"/>
    </i>
    <i>
      <x v="36"/>
    </i>
    <i>
      <x v="43"/>
    </i>
    <i>
      <x v="48"/>
    </i>
    <i>
      <x v="29"/>
    </i>
    <i>
      <x v="44"/>
    </i>
    <i>
      <x v="11"/>
    </i>
    <i>
      <x v="55"/>
    </i>
    <i>
      <x v="28"/>
    </i>
    <i>
      <x v="57"/>
    </i>
    <i>
      <x v="83"/>
    </i>
    <i>
      <x v="45"/>
    </i>
    <i>
      <x v="46"/>
    </i>
    <i>
      <x v="50"/>
    </i>
    <i>
      <x v="12"/>
    </i>
    <i>
      <x v="87"/>
    </i>
    <i>
      <x v="18"/>
    </i>
    <i>
      <x v="74"/>
    </i>
    <i>
      <x v="40"/>
    </i>
    <i>
      <x v="54"/>
    </i>
    <i>
      <x v="15"/>
    </i>
    <i>
      <x v="81"/>
    </i>
    <i>
      <x v="92"/>
    </i>
    <i>
      <x v="51"/>
    </i>
    <i>
      <x v="41"/>
    </i>
    <i>
      <x v="79"/>
    </i>
    <i>
      <x v="98"/>
    </i>
    <i>
      <x v="14"/>
    </i>
    <i>
      <x v="64"/>
    </i>
    <i>
      <x v="88"/>
    </i>
    <i>
      <x v="65"/>
    </i>
    <i>
      <x v="71"/>
    </i>
    <i>
      <x v="58"/>
    </i>
    <i>
      <x v="96"/>
    </i>
    <i>
      <x v="97"/>
    </i>
    <i>
      <x v="61"/>
    </i>
    <i>
      <x v="59"/>
    </i>
    <i>
      <x v="52"/>
    </i>
    <i t="grand">
      <x/>
    </i>
  </rowItems>
  <colItems count="1">
    <i/>
  </colItems>
  <pageFields count="1">
    <pageField fld="7" item="2" hier="-1"/>
  </pageFields>
  <dataFields count="1">
    <dataField name="Sum of Quantity" fld="2" baseField="0" baseItem="0"/>
  </dataFields>
  <formats count="6">
    <format dxfId="51">
      <pivotArea type="all" dataOnly="0" outline="0" fieldPosition="0"/>
    </format>
    <format dxfId="52">
      <pivotArea outline="0" collapsedLevelsAreSubtotals="1" fieldPosition="0"/>
    </format>
    <format dxfId="53">
      <pivotArea field="1" type="button" dataOnly="0" labelOnly="1" outline="0" axis="axisRow" fieldPosition="0"/>
    </format>
    <format dxfId="54">
      <pivotArea dataOnly="0" labelOnly="1" outline="0" fieldPosition="0">
        <references count="1">
          <reference field="1" count="44">
            <x v="11"/>
            <x v="12"/>
            <x v="14"/>
            <x v="15"/>
            <x v="18"/>
            <x v="27"/>
            <x v="28"/>
            <x v="29"/>
            <x v="35"/>
            <x v="36"/>
            <x v="37"/>
            <x v="40"/>
            <x v="41"/>
            <x v="43"/>
            <x v="44"/>
            <x v="45"/>
            <x v="46"/>
            <x v="47"/>
            <x v="48"/>
            <x v="50"/>
            <x v="51"/>
            <x v="52"/>
            <x v="54"/>
            <x v="55"/>
            <x v="56"/>
            <x v="57"/>
            <x v="58"/>
            <x v="59"/>
            <x v="61"/>
            <x v="64"/>
            <x v="65"/>
            <x v="71"/>
            <x v="74"/>
            <x v="79"/>
            <x v="81"/>
            <x v="83"/>
            <x v="87"/>
            <x v="88"/>
            <x v="92"/>
            <x v="94"/>
            <x v="95"/>
            <x v="96"/>
            <x v="97"/>
            <x v="98"/>
          </reference>
        </references>
      </pivotArea>
    </format>
    <format dxfId="55">
      <pivotArea dataOnly="0" labelOnly="1" grandRow="1" outline="0" fieldPosition="0"/>
    </format>
    <format dxfId="56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7B8EE-B2C2-403D-ABE3-ABFAAD3EAD20}" name="PivotTable2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25:C77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54">
        <item x="2"/>
        <item x="80"/>
        <item x="29"/>
        <item x="28"/>
        <item x="78"/>
        <item x="65"/>
        <item x="0"/>
        <item x="77"/>
        <item x="66"/>
        <item x="113"/>
        <item x="114"/>
        <item x="117"/>
        <item x="100"/>
        <item x="112"/>
        <item x="111"/>
        <item x="110"/>
        <item x="64"/>
        <item x="38"/>
        <item x="46"/>
        <item x="95"/>
        <item x="45"/>
        <item x="61"/>
        <item x="82"/>
        <item x="36"/>
        <item x="60"/>
        <item x="26"/>
        <item x="39"/>
        <item x="40"/>
        <item x="18"/>
        <item x="8"/>
        <item x="17"/>
        <item x="21"/>
        <item x="76"/>
        <item x="69"/>
        <item x="20"/>
        <item x="70"/>
        <item x="16"/>
        <item x="19"/>
        <item x="68"/>
        <item x="101"/>
        <item x="109"/>
        <item x="67"/>
        <item x="58"/>
        <item x="99"/>
        <item x="41"/>
        <item x="81"/>
        <item x="52"/>
        <item x="108"/>
        <item x="51"/>
        <item x="55"/>
        <item x="53"/>
        <item x="103"/>
        <item x="63"/>
        <item x="83"/>
        <item x="42"/>
        <item x="11"/>
        <item x="34"/>
        <item x="10"/>
        <item x="93"/>
        <item x="94"/>
        <item x="9"/>
        <item x="12"/>
        <item x="92"/>
        <item x="98"/>
        <item x="71"/>
        <item x="37"/>
        <item x="73"/>
        <item x="89"/>
        <item x="90"/>
        <item x="88"/>
        <item x="91"/>
        <item x="22"/>
        <item x="5"/>
        <item x="96"/>
        <item x="104"/>
        <item x="23"/>
        <item x="33"/>
        <item x="87"/>
        <item x="32"/>
        <item x="106"/>
        <item x="57"/>
        <item x="3"/>
        <item x="79"/>
        <item x="107"/>
        <item x="35"/>
        <item x="1"/>
        <item x="84"/>
        <item x="105"/>
        <item x="14"/>
        <item x="49"/>
        <item x="85"/>
        <item x="44"/>
        <item x="48"/>
        <item x="31"/>
        <item x="50"/>
        <item x="72"/>
        <item x="6"/>
        <item x="97"/>
        <item x="30"/>
        <item x="54"/>
        <item x="4"/>
        <item x="47"/>
        <item x="102"/>
        <item x="75"/>
        <item x="13"/>
        <item x="24"/>
        <item x="62"/>
        <item x="56"/>
        <item x="43"/>
        <item x="74"/>
        <item x="15"/>
        <item x="7"/>
        <item x="59"/>
        <item x="115"/>
        <item x="118"/>
        <item x="116"/>
        <item x="86"/>
        <item x="25"/>
        <item x="27"/>
        <item x="137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Page" compact="0" outline="0" showAll="0">
      <items count="10">
        <item h="1" x="0"/>
        <item h="1" x="1"/>
        <item h="1" x="2"/>
        <item x="3"/>
        <item h="1" x="4"/>
        <item m="1" x="8"/>
        <item h="1" x="5"/>
        <item h="1" x="6"/>
        <item h="1" x="7"/>
        <item t="default"/>
      </items>
    </pivotField>
  </pivotFields>
  <rowFields count="1">
    <field x="1"/>
  </rowFields>
  <rowItems count="52">
    <i>
      <x v="87"/>
    </i>
    <i>
      <x v="48"/>
    </i>
    <i>
      <x v="4"/>
    </i>
    <i>
      <x v="6"/>
    </i>
    <i>
      <x v="38"/>
    </i>
    <i>
      <x v="103"/>
    </i>
    <i>
      <x v="43"/>
    </i>
    <i>
      <x v="9"/>
    </i>
    <i>
      <x v="36"/>
    </i>
    <i>
      <x v="60"/>
    </i>
    <i>
      <x v="113"/>
    </i>
    <i>
      <x v="3"/>
    </i>
    <i>
      <x v="55"/>
    </i>
    <i>
      <x v="24"/>
    </i>
    <i>
      <x v="10"/>
    </i>
    <i>
      <x v="79"/>
    </i>
    <i>
      <x v="61"/>
    </i>
    <i>
      <x v="111"/>
    </i>
    <i>
      <x v="11"/>
    </i>
    <i>
      <x v="33"/>
    </i>
    <i>
      <x v="22"/>
    </i>
    <i>
      <x v="47"/>
    </i>
    <i>
      <x v="56"/>
    </i>
    <i>
      <x v="20"/>
    </i>
    <i>
      <x v="46"/>
    </i>
    <i>
      <x v="51"/>
    </i>
    <i>
      <x v="114"/>
    </i>
    <i>
      <x v="45"/>
    </i>
    <i>
      <x v="2"/>
    </i>
    <i>
      <x v="39"/>
    </i>
    <i>
      <x v="102"/>
    </i>
    <i>
      <x v="40"/>
    </i>
    <i>
      <x v="83"/>
    </i>
    <i>
      <x v="74"/>
    </i>
    <i>
      <x v="115"/>
    </i>
    <i>
      <x v="12"/>
    </i>
    <i>
      <x v="15"/>
    </i>
    <i>
      <x v="118"/>
    </i>
    <i>
      <x v="13"/>
    </i>
    <i>
      <x v="35"/>
    </i>
    <i>
      <x v="98"/>
    </i>
    <i>
      <x v="117"/>
    </i>
    <i>
      <x v="104"/>
    </i>
    <i>
      <x v="100"/>
    </i>
    <i>
      <x v="30"/>
    </i>
    <i>
      <x v="77"/>
    </i>
    <i>
      <x v="14"/>
    </i>
    <i>
      <x v="82"/>
    </i>
    <i>
      <x v="72"/>
    </i>
    <i>
      <x v="88"/>
    </i>
    <i>
      <x v="5"/>
    </i>
    <i t="grand">
      <x/>
    </i>
  </rowItems>
  <colItems count="1">
    <i/>
  </colItems>
  <pageFields count="1">
    <pageField fld="7" item="3" hier="-1"/>
  </pageFields>
  <dataFields count="1">
    <dataField name="Total Profit" fld="5" baseField="0" baseItem="0" numFmtId="164"/>
  </dataFields>
  <formats count="7">
    <format dxfId="44">
      <pivotArea type="all" dataOnly="0" outline="0" fieldPosition="0"/>
    </format>
    <format dxfId="45">
      <pivotArea outline="0" collapsedLevelsAreSubtotals="1" fieldPosition="0"/>
    </format>
    <format dxfId="46">
      <pivotArea field="1" type="button" dataOnly="0" labelOnly="1" outline="0" axis="axisRow" fieldPosition="0"/>
    </format>
    <format dxfId="47">
      <pivotArea dataOnly="0" labelOnly="1" outline="0" fieldPosition="0">
        <references count="1">
          <reference field="1" count="50">
            <x v="2"/>
            <x v="3"/>
            <x v="4"/>
            <x v="6"/>
            <x v="9"/>
            <x v="10"/>
            <x v="11"/>
            <x v="12"/>
            <x v="13"/>
            <x v="14"/>
            <x v="15"/>
            <x v="20"/>
            <x v="22"/>
            <x v="24"/>
            <x v="30"/>
            <x v="33"/>
            <x v="35"/>
            <x v="36"/>
            <x v="38"/>
            <x v="39"/>
            <x v="40"/>
            <x v="43"/>
            <x v="45"/>
            <x v="46"/>
            <x v="47"/>
            <x v="48"/>
            <x v="51"/>
            <x v="55"/>
            <x v="56"/>
            <x v="60"/>
            <x v="61"/>
            <x v="72"/>
            <x v="74"/>
            <x v="77"/>
            <x v="79"/>
            <x v="82"/>
            <x v="83"/>
            <x v="87"/>
            <x v="88"/>
            <x v="98"/>
            <x v="100"/>
            <x v="102"/>
            <x v="103"/>
            <x v="104"/>
            <x v="111"/>
            <x v="113"/>
            <x v="114"/>
            <x v="115"/>
            <x v="117"/>
            <x v="118"/>
          </reference>
        </references>
      </pivotArea>
    </format>
    <format dxfId="48">
      <pivotArea dataOnly="0" labelOnly="1" outline="0" fieldPosition="0">
        <references count="1">
          <reference field="1" count="1">
            <x v="5"/>
          </reference>
        </references>
      </pivotArea>
    </format>
    <format dxfId="49">
      <pivotArea dataOnly="0" labelOnly="1" grandRow="1" outline="0" fieldPosition="0"/>
    </format>
    <format dxfId="5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FCCE8-63DF-400C-BB33-937A86126BCF}" name="PivotTable1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B4:C12" firstHeaderRow="1" firstDataRow="1" firstDataCol="1" rowPageCount="1" colPageCount="1"/>
  <pivotFields count="8">
    <pivotField axis="axisRow" compact="0" numFmtId="14" outline="0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Page" compact="0" outline="0" showAll="0">
      <items count="10">
        <item h="1" x="0"/>
        <item h="1" x="1"/>
        <item h="1" x="2"/>
        <item m="1" x="8"/>
        <item x="3"/>
        <item h="1" x="4"/>
        <item h="1" x="5"/>
        <item h="1" x="6"/>
        <item h="1" x="7"/>
        <item t="default"/>
      </items>
    </pivotField>
  </pivotFields>
  <rowFields count="1">
    <field x="0"/>
  </rowFields>
  <rowItems count="8"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pageFields count="1">
    <pageField fld="7" item="4" hier="-1"/>
  </pageFields>
  <dataFields count="1">
    <dataField name="Daily Profit" fld="5" baseField="0" baseItem="0" numFmtId="164"/>
  </dataFields>
  <formats count="6">
    <format dxfId="38">
      <pivotArea type="all" dataOnly="0" outline="0" fieldPosition="0"/>
    </format>
    <format dxfId="39">
      <pivotArea outline="0" collapsedLevelsAreSubtotals="1" fieldPosition="0"/>
    </format>
    <format dxfId="40">
      <pivotArea field="0" type="button" dataOnly="0" labelOnly="1" outline="0" axis="axisRow" fieldPosition="0"/>
    </format>
    <format dxfId="41">
      <pivotArea dataOnly="0" labelOnly="1" outline="0" fieldPosition="0">
        <references count="1">
          <reference field="0" count="7">
            <x v="21"/>
            <x v="22"/>
            <x v="23"/>
            <x v="24"/>
            <x v="25"/>
            <x v="26"/>
            <x v="27"/>
          </reference>
        </references>
      </pivotArea>
    </format>
    <format dxfId="42">
      <pivotArea dataOnly="0" labelOnly="1" grandRow="1" outline="0" fieldPosition="0"/>
    </format>
    <format dxfId="43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E64F6-8BB3-4A71-9B06-C012A961639A}" name="PivotTable4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86:C138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54">
        <item x="2"/>
        <item x="80"/>
        <item x="29"/>
        <item x="28"/>
        <item x="78"/>
        <item x="65"/>
        <item x="0"/>
        <item x="77"/>
        <item x="66"/>
        <item x="113"/>
        <item x="114"/>
        <item x="117"/>
        <item x="100"/>
        <item x="112"/>
        <item x="111"/>
        <item x="110"/>
        <item x="64"/>
        <item x="38"/>
        <item x="46"/>
        <item x="95"/>
        <item x="45"/>
        <item x="61"/>
        <item x="82"/>
        <item x="36"/>
        <item x="60"/>
        <item x="26"/>
        <item x="39"/>
        <item x="40"/>
        <item x="18"/>
        <item x="8"/>
        <item x="17"/>
        <item x="21"/>
        <item x="76"/>
        <item x="69"/>
        <item x="20"/>
        <item x="70"/>
        <item x="16"/>
        <item x="19"/>
        <item x="68"/>
        <item x="101"/>
        <item x="109"/>
        <item x="67"/>
        <item x="58"/>
        <item x="99"/>
        <item x="41"/>
        <item x="81"/>
        <item x="52"/>
        <item x="108"/>
        <item x="51"/>
        <item x="55"/>
        <item x="53"/>
        <item x="103"/>
        <item x="63"/>
        <item x="83"/>
        <item x="42"/>
        <item x="11"/>
        <item x="34"/>
        <item x="10"/>
        <item x="93"/>
        <item x="94"/>
        <item x="9"/>
        <item x="12"/>
        <item x="92"/>
        <item x="98"/>
        <item x="71"/>
        <item x="37"/>
        <item x="73"/>
        <item x="89"/>
        <item x="90"/>
        <item x="88"/>
        <item x="91"/>
        <item x="22"/>
        <item x="5"/>
        <item x="96"/>
        <item x="104"/>
        <item x="23"/>
        <item x="33"/>
        <item x="87"/>
        <item x="32"/>
        <item x="106"/>
        <item x="57"/>
        <item x="3"/>
        <item x="79"/>
        <item x="107"/>
        <item x="35"/>
        <item x="1"/>
        <item x="84"/>
        <item x="105"/>
        <item x="14"/>
        <item x="49"/>
        <item x="85"/>
        <item x="44"/>
        <item x="48"/>
        <item x="31"/>
        <item x="50"/>
        <item x="72"/>
        <item x="6"/>
        <item x="97"/>
        <item x="30"/>
        <item x="54"/>
        <item x="4"/>
        <item x="47"/>
        <item x="102"/>
        <item x="75"/>
        <item x="13"/>
        <item x="24"/>
        <item x="62"/>
        <item x="56"/>
        <item x="43"/>
        <item x="74"/>
        <item x="15"/>
        <item x="7"/>
        <item x="59"/>
        <item x="115"/>
        <item x="118"/>
        <item x="116"/>
        <item x="86"/>
        <item x="25"/>
        <item x="27"/>
        <item x="137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Page" compact="0" outline="0" showAll="0">
      <items count="10">
        <item h="1" x="0"/>
        <item h="1" x="1"/>
        <item h="1" x="2"/>
        <item x="3"/>
        <item h="1" x="4"/>
        <item m="1" x="8"/>
        <item h="1" x="5"/>
        <item h="1" x="6"/>
        <item h="1" x="7"/>
        <item t="default"/>
      </items>
    </pivotField>
  </pivotFields>
  <rowFields count="1">
    <field x="1"/>
  </rowFields>
  <rowItems count="52">
    <i>
      <x v="79"/>
    </i>
    <i>
      <x v="48"/>
    </i>
    <i>
      <x v="3"/>
    </i>
    <i>
      <x v="45"/>
    </i>
    <i>
      <x v="24"/>
    </i>
    <i>
      <x v="46"/>
    </i>
    <i>
      <x v="2"/>
    </i>
    <i>
      <x v="6"/>
    </i>
    <i>
      <x v="39"/>
    </i>
    <i>
      <x v="74"/>
    </i>
    <i>
      <x v="103"/>
    </i>
    <i>
      <x v="72"/>
    </i>
    <i>
      <x v="38"/>
    </i>
    <i>
      <x v="33"/>
    </i>
    <i>
      <x v="36"/>
    </i>
    <i>
      <x v="9"/>
    </i>
    <i>
      <x v="55"/>
    </i>
    <i>
      <x v="88"/>
    </i>
    <i>
      <x v="82"/>
    </i>
    <i>
      <x v="12"/>
    </i>
    <i>
      <x v="5"/>
    </i>
    <i>
      <x v="111"/>
    </i>
    <i>
      <x v="10"/>
    </i>
    <i>
      <x v="51"/>
    </i>
    <i>
      <x v="102"/>
    </i>
    <i>
      <x v="60"/>
    </i>
    <i>
      <x v="43"/>
    </i>
    <i>
      <x v="56"/>
    </i>
    <i>
      <x v="61"/>
    </i>
    <i>
      <x v="22"/>
    </i>
    <i>
      <x v="83"/>
    </i>
    <i>
      <x v="118"/>
    </i>
    <i>
      <x v="11"/>
    </i>
    <i>
      <x v="100"/>
    </i>
    <i>
      <x v="13"/>
    </i>
    <i>
      <x v="14"/>
    </i>
    <i>
      <x v="20"/>
    </i>
    <i>
      <x v="35"/>
    </i>
    <i>
      <x v="15"/>
    </i>
    <i>
      <x v="113"/>
    </i>
    <i>
      <x v="40"/>
    </i>
    <i>
      <x v="115"/>
    </i>
    <i>
      <x v="98"/>
    </i>
    <i>
      <x v="87"/>
    </i>
    <i>
      <x v="4"/>
    </i>
    <i>
      <x v="114"/>
    </i>
    <i>
      <x v="30"/>
    </i>
    <i>
      <x v="117"/>
    </i>
    <i>
      <x v="77"/>
    </i>
    <i>
      <x v="104"/>
    </i>
    <i>
      <x v="47"/>
    </i>
    <i t="grand">
      <x/>
    </i>
  </rowItems>
  <colItems count="1">
    <i/>
  </colItems>
  <pageFields count="1">
    <pageField fld="7" item="3" hier="-1"/>
  </pageFields>
  <dataFields count="1">
    <dataField name="Units Sold" fld="2" baseField="0" baseItem="0"/>
  </dataFields>
  <formats count="7">
    <format dxfId="31">
      <pivotArea type="all" dataOnly="0" outline="0" fieldPosition="0"/>
    </format>
    <format dxfId="32">
      <pivotArea outline="0" collapsedLevelsAreSubtotals="1" fieldPosition="0"/>
    </format>
    <format dxfId="33">
      <pivotArea field="1" type="button" dataOnly="0" labelOnly="1" outline="0" axis="axisRow" fieldPosition="0"/>
    </format>
    <format dxfId="34">
      <pivotArea dataOnly="0" labelOnly="1" outline="0" fieldPosition="0">
        <references count="1">
          <reference field="1" count="50">
            <x v="2"/>
            <x v="3"/>
            <x v="4"/>
            <x v="5"/>
            <x v="6"/>
            <x v="9"/>
            <x v="10"/>
            <x v="11"/>
            <x v="12"/>
            <x v="13"/>
            <x v="14"/>
            <x v="15"/>
            <x v="20"/>
            <x v="22"/>
            <x v="24"/>
            <x v="30"/>
            <x v="33"/>
            <x v="35"/>
            <x v="36"/>
            <x v="38"/>
            <x v="39"/>
            <x v="40"/>
            <x v="43"/>
            <x v="45"/>
            <x v="46"/>
            <x v="48"/>
            <x v="51"/>
            <x v="55"/>
            <x v="56"/>
            <x v="60"/>
            <x v="61"/>
            <x v="72"/>
            <x v="74"/>
            <x v="77"/>
            <x v="79"/>
            <x v="82"/>
            <x v="83"/>
            <x v="87"/>
            <x v="88"/>
            <x v="98"/>
            <x v="100"/>
            <x v="102"/>
            <x v="103"/>
            <x v="104"/>
            <x v="111"/>
            <x v="113"/>
            <x v="114"/>
            <x v="115"/>
            <x v="117"/>
            <x v="118"/>
          </reference>
        </references>
      </pivotArea>
    </format>
    <format dxfId="35">
      <pivotArea dataOnly="0" labelOnly="1" outline="0" fieldPosition="0">
        <references count="1">
          <reference field="1" count="1">
            <x v="47"/>
          </reference>
        </references>
      </pivotArea>
    </format>
    <format dxfId="36">
      <pivotArea dataOnly="0" labelOnly="1" grandRow="1" outline="0" fieldPosition="0"/>
    </format>
    <format dxfId="37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7B477-5D0A-45F2-BBEB-5629ABAB00E6}" name="PivotTable3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77:C121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54">
        <item x="122"/>
        <item x="2"/>
        <item x="80"/>
        <item x="29"/>
        <item x="28"/>
        <item x="78"/>
        <item x="65"/>
        <item x="0"/>
        <item x="77"/>
        <item x="66"/>
        <item x="113"/>
        <item x="114"/>
        <item x="117"/>
        <item x="100"/>
        <item x="112"/>
        <item x="111"/>
        <item x="110"/>
        <item x="64"/>
        <item x="38"/>
        <item x="46"/>
        <item x="95"/>
        <item x="45"/>
        <item x="61"/>
        <item x="82"/>
        <item x="127"/>
        <item x="36"/>
        <item x="60"/>
        <item x="26"/>
        <item x="39"/>
        <item x="40"/>
        <item x="121"/>
        <item x="140"/>
        <item x="141"/>
        <item x="139"/>
        <item x="18"/>
        <item x="130"/>
        <item x="8"/>
        <item x="17"/>
        <item x="125"/>
        <item x="21"/>
        <item x="76"/>
        <item x="69"/>
        <item x="20"/>
        <item x="70"/>
        <item x="16"/>
        <item x="142"/>
        <item x="19"/>
        <item x="68"/>
        <item x="101"/>
        <item x="124"/>
        <item x="109"/>
        <item x="143"/>
        <item x="144"/>
        <item x="123"/>
        <item x="67"/>
        <item x="58"/>
        <item x="99"/>
        <item x="41"/>
        <item x="81"/>
        <item x="52"/>
        <item x="108"/>
        <item x="51"/>
        <item x="55"/>
        <item x="138"/>
        <item x="53"/>
        <item x="103"/>
        <item x="128"/>
        <item x="63"/>
        <item x="83"/>
        <item x="42"/>
        <item x="11"/>
        <item x="34"/>
        <item x="10"/>
        <item x="126"/>
        <item x="131"/>
        <item x="93"/>
        <item x="94"/>
        <item x="119"/>
        <item x="9"/>
        <item x="12"/>
        <item x="92"/>
        <item x="98"/>
        <item x="71"/>
        <item x="37"/>
        <item x="133"/>
        <item x="73"/>
        <item x="89"/>
        <item x="90"/>
        <item x="88"/>
        <item x="91"/>
        <item x="22"/>
        <item x="5"/>
        <item x="96"/>
        <item x="145"/>
        <item x="104"/>
        <item x="23"/>
        <item x="134"/>
        <item x="33"/>
        <item x="87"/>
        <item x="32"/>
        <item x="106"/>
        <item x="57"/>
        <item x="3"/>
        <item x="79"/>
        <item x="107"/>
        <item x="152"/>
        <item x="35"/>
        <item x="1"/>
        <item x="84"/>
        <item x="129"/>
        <item x="105"/>
        <item x="14"/>
        <item x="150"/>
        <item x="49"/>
        <item x="85"/>
        <item x="44"/>
        <item x="48"/>
        <item x="31"/>
        <item x="50"/>
        <item x="149"/>
        <item x="72"/>
        <item x="6"/>
        <item x="97"/>
        <item x="120"/>
        <item x="30"/>
        <item x="54"/>
        <item x="4"/>
        <item x="47"/>
        <item x="102"/>
        <item x="75"/>
        <item x="13"/>
        <item x="24"/>
        <item x="62"/>
        <item x="56"/>
        <item x="43"/>
        <item x="146"/>
        <item x="74"/>
        <item x="148"/>
        <item x="135"/>
        <item x="15"/>
        <item x="7"/>
        <item x="136"/>
        <item x="59"/>
        <item x="132"/>
        <item x="151"/>
        <item x="115"/>
        <item x="118"/>
        <item x="147"/>
        <item x="116"/>
        <item x="86"/>
        <item x="25"/>
        <item x="27"/>
        <item x="1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axis="axisPage" compact="0" outline="0" showAll="0">
      <items count="10">
        <item h="1" x="0"/>
        <item h="1" x="1"/>
        <item h="1" x="2"/>
        <item h="1" x="3"/>
        <item h="1" x="4"/>
        <item x="5"/>
        <item m="1" x="8"/>
        <item h="1" x="6"/>
        <item h="1" x="7"/>
        <item t="default"/>
      </items>
    </pivotField>
  </pivotFields>
  <rowFields count="1">
    <field x="1"/>
  </rowFields>
  <rowItems count="44">
    <i>
      <x v="78"/>
    </i>
    <i>
      <x v="143"/>
    </i>
    <i>
      <x v="138"/>
    </i>
    <i>
      <x v="131"/>
    </i>
    <i>
      <x v="61"/>
    </i>
    <i>
      <x v="107"/>
    </i>
    <i>
      <x v="125"/>
    </i>
    <i>
      <x v="139"/>
    </i>
    <i>
      <x v="102"/>
    </i>
    <i>
      <x v="7"/>
    </i>
    <i>
      <x v="74"/>
    </i>
    <i>
      <x v="140"/>
    </i>
    <i>
      <x v="79"/>
    </i>
    <i>
      <x v="121"/>
    </i>
    <i>
      <x v="141"/>
    </i>
    <i>
      <x v="70"/>
    </i>
    <i>
      <x v="72"/>
    </i>
    <i>
      <x v="96"/>
    </i>
    <i>
      <x v="34"/>
    </i>
    <i>
      <x v="1"/>
    </i>
    <i>
      <x v="80"/>
    </i>
    <i>
      <x v="37"/>
    </i>
    <i>
      <x v="75"/>
    </i>
    <i>
      <x v="95"/>
    </i>
    <i>
      <x v="124"/>
    </i>
    <i>
      <x v="83"/>
    </i>
    <i>
      <x v="142"/>
    </i>
    <i>
      <x v="44"/>
    </i>
    <i>
      <x v="85"/>
    </i>
    <i>
      <x v="150"/>
    </i>
    <i>
      <x v="126"/>
    </i>
    <i>
      <x v="90"/>
    </i>
    <i>
      <x v="46"/>
    </i>
    <i>
      <x v="97"/>
    </i>
    <i>
      <x v="84"/>
    </i>
    <i>
      <x v="130"/>
    </i>
    <i>
      <x v="129"/>
    </i>
    <i>
      <x v="3"/>
    </i>
    <i>
      <x v="36"/>
    </i>
    <i>
      <x v="91"/>
    </i>
    <i>
      <x v="117"/>
    </i>
    <i>
      <x v="111"/>
    </i>
    <i>
      <x v="4"/>
    </i>
    <i t="grand">
      <x/>
    </i>
  </rowItems>
  <colItems count="1">
    <i/>
  </colItems>
  <pageFields count="1">
    <pageField fld="7" item="5" hier="-1"/>
  </pageFields>
  <dataFields count="1">
    <dataField name="Total Profit" fld="5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65A19-C686-413E-B8AA-71CC9498E34E}" name="PivotTable2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24:C68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54">
        <item x="122"/>
        <item x="2"/>
        <item x="80"/>
        <item x="29"/>
        <item x="28"/>
        <item x="78"/>
        <item x="65"/>
        <item x="0"/>
        <item x="77"/>
        <item x="66"/>
        <item x="113"/>
        <item x="114"/>
        <item x="117"/>
        <item x="100"/>
        <item x="112"/>
        <item x="111"/>
        <item x="110"/>
        <item x="64"/>
        <item x="38"/>
        <item x="46"/>
        <item x="95"/>
        <item x="45"/>
        <item x="61"/>
        <item x="82"/>
        <item x="127"/>
        <item x="36"/>
        <item x="60"/>
        <item x="26"/>
        <item x="39"/>
        <item x="40"/>
        <item x="121"/>
        <item x="140"/>
        <item x="141"/>
        <item x="139"/>
        <item x="18"/>
        <item x="130"/>
        <item x="8"/>
        <item x="17"/>
        <item x="125"/>
        <item x="21"/>
        <item x="76"/>
        <item x="69"/>
        <item x="20"/>
        <item x="70"/>
        <item x="16"/>
        <item x="142"/>
        <item x="19"/>
        <item x="68"/>
        <item x="101"/>
        <item x="124"/>
        <item x="109"/>
        <item x="143"/>
        <item x="144"/>
        <item x="123"/>
        <item x="67"/>
        <item x="58"/>
        <item x="99"/>
        <item x="41"/>
        <item x="81"/>
        <item x="52"/>
        <item x="108"/>
        <item x="51"/>
        <item x="55"/>
        <item x="138"/>
        <item x="53"/>
        <item x="103"/>
        <item x="128"/>
        <item x="63"/>
        <item x="83"/>
        <item x="42"/>
        <item x="11"/>
        <item x="34"/>
        <item x="10"/>
        <item x="126"/>
        <item x="131"/>
        <item x="93"/>
        <item x="94"/>
        <item x="119"/>
        <item x="9"/>
        <item x="12"/>
        <item x="92"/>
        <item x="98"/>
        <item x="71"/>
        <item x="37"/>
        <item x="133"/>
        <item x="73"/>
        <item x="89"/>
        <item x="90"/>
        <item x="88"/>
        <item x="91"/>
        <item x="22"/>
        <item x="5"/>
        <item x="96"/>
        <item x="145"/>
        <item x="104"/>
        <item x="23"/>
        <item x="134"/>
        <item x="33"/>
        <item x="87"/>
        <item x="32"/>
        <item x="106"/>
        <item x="57"/>
        <item x="3"/>
        <item x="79"/>
        <item x="107"/>
        <item x="152"/>
        <item x="35"/>
        <item x="1"/>
        <item x="84"/>
        <item x="129"/>
        <item x="105"/>
        <item x="14"/>
        <item x="150"/>
        <item x="49"/>
        <item x="85"/>
        <item x="44"/>
        <item x="48"/>
        <item x="31"/>
        <item x="50"/>
        <item x="149"/>
        <item x="72"/>
        <item x="6"/>
        <item x="97"/>
        <item x="120"/>
        <item x="30"/>
        <item x="54"/>
        <item x="4"/>
        <item x="47"/>
        <item x="102"/>
        <item x="75"/>
        <item x="13"/>
        <item x="24"/>
        <item x="62"/>
        <item x="56"/>
        <item x="43"/>
        <item x="146"/>
        <item x="74"/>
        <item x="148"/>
        <item x="135"/>
        <item x="15"/>
        <item x="7"/>
        <item x="136"/>
        <item x="59"/>
        <item x="132"/>
        <item x="151"/>
        <item x="115"/>
        <item x="118"/>
        <item x="147"/>
        <item x="116"/>
        <item x="86"/>
        <item x="25"/>
        <item x="27"/>
        <item x="1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axis="axisPage" compact="0" outline="0" showAll="0">
      <items count="10">
        <item h="1" x="0"/>
        <item h="1" x="1"/>
        <item h="1" x="2"/>
        <item h="1" x="3"/>
        <item h="1" x="4"/>
        <item x="5"/>
        <item m="1" x="8"/>
        <item h="1" x="6"/>
        <item h="1" x="7"/>
        <item t="default"/>
      </items>
    </pivotField>
  </pivotFields>
  <rowFields count="1">
    <field x="1"/>
  </rowFields>
  <rowItems count="44">
    <i>
      <x v="91"/>
    </i>
    <i>
      <x v="117"/>
    </i>
    <i>
      <x v="61"/>
    </i>
    <i>
      <x v="111"/>
    </i>
    <i>
      <x v="140"/>
    </i>
    <i>
      <x v="78"/>
    </i>
    <i>
      <x v="7"/>
    </i>
    <i>
      <x v="142"/>
    </i>
    <i>
      <x v="70"/>
    </i>
    <i>
      <x v="34"/>
    </i>
    <i>
      <x v="74"/>
    </i>
    <i>
      <x v="72"/>
    </i>
    <i>
      <x v="3"/>
    </i>
    <i>
      <x v="37"/>
    </i>
    <i>
      <x v="130"/>
    </i>
    <i>
      <x v="126"/>
    </i>
    <i>
      <x v="79"/>
    </i>
    <i>
      <x v="4"/>
    </i>
    <i>
      <x v="36"/>
    </i>
    <i>
      <x v="143"/>
    </i>
    <i>
      <x v="97"/>
    </i>
    <i>
      <x v="96"/>
    </i>
    <i>
      <x v="44"/>
    </i>
    <i>
      <x v="75"/>
    </i>
    <i>
      <x v="141"/>
    </i>
    <i>
      <x v="129"/>
    </i>
    <i>
      <x v="138"/>
    </i>
    <i>
      <x v="131"/>
    </i>
    <i>
      <x v="124"/>
    </i>
    <i>
      <x v="125"/>
    </i>
    <i>
      <x v="46"/>
    </i>
    <i>
      <x v="95"/>
    </i>
    <i>
      <x v="80"/>
    </i>
    <i>
      <x v="150"/>
    </i>
    <i>
      <x v="90"/>
    </i>
    <i>
      <x v="1"/>
    </i>
    <i>
      <x v="84"/>
    </i>
    <i>
      <x v="83"/>
    </i>
    <i>
      <x v="85"/>
    </i>
    <i>
      <x v="139"/>
    </i>
    <i>
      <x v="121"/>
    </i>
    <i>
      <x v="102"/>
    </i>
    <i>
      <x v="107"/>
    </i>
    <i t="grand">
      <x/>
    </i>
  </rowItems>
  <colItems count="1">
    <i/>
  </colItems>
  <pageFields count="1">
    <pageField fld="7" item="5" hier="-1"/>
  </pageFields>
  <dataFields count="1">
    <dataField name="Units Sold" fld="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47796-1393-444F-AFC1-5622A374206A}" name="PivotTable1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4:C12" firstHeaderRow="1" firstDataRow="1" firstDataCol="1" rowPageCount="1" colPageCount="1"/>
  <pivotFields count="8">
    <pivotField axis="axisRow" compact="0" numFmtId="14" outline="0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Page" compact="0" outline="0" showAll="0">
      <items count="10">
        <item h="1" x="0"/>
        <item h="1" x="1"/>
        <item h="1" x="2"/>
        <item h="1" x="3"/>
        <item h="1" x="4"/>
        <item x="5"/>
        <item m="1" x="8"/>
        <item h="1" x="6"/>
        <item h="1" x="7"/>
        <item t="default"/>
      </items>
    </pivotField>
  </pivotFields>
  <rowFields count="1">
    <field x="0"/>
  </rowFields>
  <rowItems count="8"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pageFields count="1">
    <pageField fld="7" item="5" hier="-1"/>
  </pageFields>
  <dataFields count="1">
    <dataField name="Daily Profit" fld="5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8643D-346B-49A9-A796-E899C4ABA300}" name="PivotTable2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28:C72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54">
        <item x="122"/>
        <item x="2"/>
        <item x="80"/>
        <item x="29"/>
        <item x="28"/>
        <item x="78"/>
        <item x="65"/>
        <item x="0"/>
        <item x="77"/>
        <item x="66"/>
        <item x="113"/>
        <item x="114"/>
        <item x="117"/>
        <item x="100"/>
        <item x="112"/>
        <item x="111"/>
        <item x="110"/>
        <item x="64"/>
        <item x="38"/>
        <item x="46"/>
        <item x="95"/>
        <item x="45"/>
        <item x="61"/>
        <item x="82"/>
        <item x="127"/>
        <item x="36"/>
        <item x="60"/>
        <item x="26"/>
        <item x="39"/>
        <item x="40"/>
        <item x="121"/>
        <item x="18"/>
        <item x="130"/>
        <item x="8"/>
        <item x="17"/>
        <item x="125"/>
        <item x="21"/>
        <item x="76"/>
        <item x="69"/>
        <item x="20"/>
        <item x="70"/>
        <item x="16"/>
        <item x="19"/>
        <item x="68"/>
        <item x="101"/>
        <item x="124"/>
        <item x="109"/>
        <item x="123"/>
        <item x="67"/>
        <item x="58"/>
        <item x="99"/>
        <item x="41"/>
        <item x="81"/>
        <item x="52"/>
        <item x="108"/>
        <item x="51"/>
        <item x="55"/>
        <item x="53"/>
        <item x="103"/>
        <item x="128"/>
        <item x="63"/>
        <item x="83"/>
        <item x="42"/>
        <item x="11"/>
        <item x="34"/>
        <item x="10"/>
        <item x="126"/>
        <item x="131"/>
        <item x="93"/>
        <item x="94"/>
        <item x="119"/>
        <item x="9"/>
        <item x="12"/>
        <item x="92"/>
        <item x="98"/>
        <item x="71"/>
        <item x="37"/>
        <item x="133"/>
        <item x="73"/>
        <item x="89"/>
        <item x="90"/>
        <item x="88"/>
        <item x="91"/>
        <item x="22"/>
        <item x="5"/>
        <item x="96"/>
        <item x="104"/>
        <item x="23"/>
        <item x="134"/>
        <item x="33"/>
        <item x="87"/>
        <item x="32"/>
        <item x="106"/>
        <item x="57"/>
        <item x="3"/>
        <item x="79"/>
        <item x="107"/>
        <item x="35"/>
        <item x="1"/>
        <item x="84"/>
        <item x="129"/>
        <item x="105"/>
        <item x="14"/>
        <item x="49"/>
        <item x="85"/>
        <item x="44"/>
        <item x="48"/>
        <item x="31"/>
        <item x="50"/>
        <item x="72"/>
        <item x="6"/>
        <item x="97"/>
        <item x="120"/>
        <item x="30"/>
        <item x="54"/>
        <item x="4"/>
        <item x="47"/>
        <item x="102"/>
        <item x="75"/>
        <item x="13"/>
        <item x="24"/>
        <item x="62"/>
        <item x="56"/>
        <item x="43"/>
        <item x="74"/>
        <item x="15"/>
        <item x="7"/>
        <item x="59"/>
        <item x="132"/>
        <item x="115"/>
        <item x="118"/>
        <item x="116"/>
        <item x="86"/>
        <item x="25"/>
        <item x="27"/>
        <item x="137"/>
        <item x="135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Page" compact="0" outline="0" showAll="0">
      <items count="10">
        <item h="1" x="0"/>
        <item h="1" x="1"/>
        <item h="1" x="2"/>
        <item h="1" x="3"/>
        <item x="4"/>
        <item h="1" x="5"/>
        <item m="1" x="8"/>
        <item h="1" x="6"/>
        <item h="1" x="7"/>
        <item t="default"/>
      </items>
    </pivotField>
  </pivotFields>
  <rowFields count="1">
    <field x="1"/>
  </rowFields>
  <rowItems count="44">
    <i>
      <x v="55"/>
    </i>
    <i>
      <x v="30"/>
    </i>
    <i>
      <x v="100"/>
    </i>
    <i>
      <x v="112"/>
    </i>
    <i>
      <x v="99"/>
    </i>
    <i>
      <x v="41"/>
    </i>
    <i>
      <x v="71"/>
    </i>
    <i>
      <x/>
    </i>
    <i>
      <x v="24"/>
    </i>
    <i>
      <x v="63"/>
    </i>
    <i>
      <x v="114"/>
    </i>
    <i>
      <x v="7"/>
    </i>
    <i>
      <x v="54"/>
    </i>
    <i>
      <x v="98"/>
    </i>
    <i>
      <x v="47"/>
    </i>
    <i>
      <x v="118"/>
    </i>
    <i>
      <x v="46"/>
    </i>
    <i>
      <x v="52"/>
    </i>
    <i>
      <x v="53"/>
    </i>
    <i>
      <x v="45"/>
    </i>
    <i>
      <x v="117"/>
    </i>
    <i>
      <x v="23"/>
    </i>
    <i>
      <x v="58"/>
    </i>
    <i>
      <x v="31"/>
    </i>
    <i>
      <x v="34"/>
    </i>
    <i>
      <x v="32"/>
    </i>
    <i>
      <x v="70"/>
    </i>
    <i>
      <x v="3"/>
    </i>
    <i>
      <x v="113"/>
    </i>
    <i>
      <x v="4"/>
    </i>
    <i>
      <x v="44"/>
    </i>
    <i>
      <x v="35"/>
    </i>
    <i>
      <x v="72"/>
    </i>
    <i>
      <x v="119"/>
    </i>
    <i>
      <x v="40"/>
    </i>
    <i>
      <x v="65"/>
    </i>
    <i>
      <x v="66"/>
    </i>
    <i>
      <x v="59"/>
    </i>
    <i>
      <x v="115"/>
    </i>
    <i>
      <x v="127"/>
    </i>
    <i>
      <x v="95"/>
    </i>
    <i>
      <x v="86"/>
    </i>
    <i>
      <x v="84"/>
    </i>
    <i t="grand">
      <x/>
    </i>
  </rowItems>
  <colItems count="1">
    <i/>
  </colItems>
  <pageFields count="1">
    <pageField fld="7" item="4" hier="-1"/>
  </pageFields>
  <dataFields count="1">
    <dataField name="Total Profit" fld="5" baseField="0" baseItem="0" numFmtId="164"/>
  </dataFields>
  <formats count="6"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1" type="button" dataOnly="0" labelOnly="1" outline="0" axis="axisRow" fieldPosition="0"/>
    </format>
    <format dxfId="28">
      <pivotArea dataOnly="0" labelOnly="1" outline="0" fieldPosition="0">
        <references count="1">
          <reference field="1" count="43">
            <x v="0"/>
            <x v="3"/>
            <x v="4"/>
            <x v="7"/>
            <x v="23"/>
            <x v="24"/>
            <x v="30"/>
            <x v="31"/>
            <x v="32"/>
            <x v="34"/>
            <x v="35"/>
            <x v="40"/>
            <x v="41"/>
            <x v="44"/>
            <x v="45"/>
            <x v="46"/>
            <x v="47"/>
            <x v="52"/>
            <x v="53"/>
            <x v="54"/>
            <x v="55"/>
            <x v="58"/>
            <x v="59"/>
            <x v="63"/>
            <x v="65"/>
            <x v="66"/>
            <x v="70"/>
            <x v="71"/>
            <x v="72"/>
            <x v="84"/>
            <x v="86"/>
            <x v="95"/>
            <x v="98"/>
            <x v="99"/>
            <x v="100"/>
            <x v="112"/>
            <x v="113"/>
            <x v="114"/>
            <x v="115"/>
            <x v="117"/>
            <x v="118"/>
            <x v="119"/>
            <x v="127"/>
          </reference>
        </references>
      </pivotArea>
    </format>
    <format dxfId="29">
      <pivotArea dataOnly="0" labelOnly="1" grandRow="1" outline="0" fieldPosition="0"/>
    </format>
    <format dxfId="3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49F40-6FBC-431B-8206-03516EF12A60}" name="PivotTable1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4:C12" firstHeaderRow="1" firstDataRow="1" firstDataCol="1" rowPageCount="1" colPageCount="1"/>
  <pivotFields count="8">
    <pivotField axis="axisRow" compact="0" numFmtId="14" outline="0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Page" compact="0" outline="0" showAll="0">
      <items count="10">
        <item h="1" x="0"/>
        <item h="1" x="1"/>
        <item h="1" x="2"/>
        <item h="1" x="3"/>
        <item x="4"/>
        <item m="1" x="8"/>
        <item h="1" x="5"/>
        <item h="1" x="6"/>
        <item h="1" x="7"/>
        <item t="default"/>
      </items>
    </pivotField>
  </pivotFields>
  <rowFields count="1">
    <field x="0"/>
  </rowFields>
  <rowItems count="8"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pageFields count="1">
    <pageField fld="7" item="4" hier="-1"/>
  </pageFields>
  <dataFields count="1">
    <dataField name="Daily Profit" fld="5" baseField="0" baseItem="0" numFmtId="164"/>
  </dataFields>
  <formats count="6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0" type="button" dataOnly="0" labelOnly="1" outline="0" axis="axisRow" fieldPosition="0"/>
    </format>
    <format dxfId="22">
      <pivotArea dataOnly="0" labelOnly="1" outline="0" fieldPosition="0">
        <references count="1">
          <reference field="0" count="7">
            <x v="28"/>
            <x v="29"/>
            <x v="30"/>
            <x v="31"/>
            <x v="32"/>
            <x v="33"/>
            <x v="34"/>
          </reference>
        </references>
      </pivotArea>
    </format>
    <format dxfId="23">
      <pivotArea dataOnly="0" labelOnly="1" grandRow="1" outline="0" fieldPosition="0"/>
    </format>
    <format dxfId="24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FA3A9-685B-4D5F-AD81-0DD35EEBC832}" name="PivotTable3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82:C126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54">
        <item x="122"/>
        <item x="2"/>
        <item x="80"/>
        <item x="29"/>
        <item x="28"/>
        <item x="78"/>
        <item x="65"/>
        <item x="0"/>
        <item x="77"/>
        <item x="66"/>
        <item x="113"/>
        <item x="114"/>
        <item x="117"/>
        <item x="100"/>
        <item x="112"/>
        <item x="111"/>
        <item x="110"/>
        <item x="64"/>
        <item x="38"/>
        <item x="46"/>
        <item x="95"/>
        <item x="45"/>
        <item x="61"/>
        <item x="82"/>
        <item x="127"/>
        <item x="36"/>
        <item x="60"/>
        <item x="26"/>
        <item x="39"/>
        <item x="40"/>
        <item x="121"/>
        <item x="18"/>
        <item x="130"/>
        <item x="8"/>
        <item x="17"/>
        <item x="125"/>
        <item x="21"/>
        <item x="76"/>
        <item x="69"/>
        <item x="20"/>
        <item x="70"/>
        <item x="16"/>
        <item x="19"/>
        <item x="68"/>
        <item x="101"/>
        <item x="124"/>
        <item x="109"/>
        <item x="123"/>
        <item x="67"/>
        <item x="58"/>
        <item x="99"/>
        <item x="41"/>
        <item x="81"/>
        <item x="52"/>
        <item x="108"/>
        <item x="51"/>
        <item x="55"/>
        <item x="53"/>
        <item x="103"/>
        <item x="128"/>
        <item x="63"/>
        <item x="83"/>
        <item x="42"/>
        <item x="11"/>
        <item x="34"/>
        <item x="10"/>
        <item x="126"/>
        <item x="131"/>
        <item x="93"/>
        <item x="94"/>
        <item x="119"/>
        <item x="9"/>
        <item x="12"/>
        <item x="92"/>
        <item x="98"/>
        <item x="71"/>
        <item x="37"/>
        <item x="133"/>
        <item x="73"/>
        <item x="89"/>
        <item x="90"/>
        <item x="88"/>
        <item x="91"/>
        <item x="22"/>
        <item x="5"/>
        <item x="96"/>
        <item x="104"/>
        <item x="23"/>
        <item x="134"/>
        <item x="33"/>
        <item x="87"/>
        <item x="32"/>
        <item x="106"/>
        <item x="57"/>
        <item x="3"/>
        <item x="79"/>
        <item x="107"/>
        <item x="35"/>
        <item x="1"/>
        <item x="84"/>
        <item x="129"/>
        <item x="105"/>
        <item x="14"/>
        <item x="49"/>
        <item x="85"/>
        <item x="44"/>
        <item x="48"/>
        <item x="31"/>
        <item x="50"/>
        <item x="72"/>
        <item x="6"/>
        <item x="97"/>
        <item x="120"/>
        <item x="30"/>
        <item x="54"/>
        <item x="4"/>
        <item x="47"/>
        <item x="102"/>
        <item x="75"/>
        <item x="13"/>
        <item x="24"/>
        <item x="62"/>
        <item x="56"/>
        <item x="43"/>
        <item x="74"/>
        <item x="15"/>
        <item x="7"/>
        <item x="59"/>
        <item x="132"/>
        <item x="115"/>
        <item x="118"/>
        <item x="116"/>
        <item x="86"/>
        <item x="25"/>
        <item x="27"/>
        <item x="137"/>
        <item x="135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Page" compact="0" outline="0" showAll="0">
      <items count="10">
        <item h="1" x="0"/>
        <item h="1" x="1"/>
        <item h="1" x="2"/>
        <item h="1" x="3"/>
        <item x="4"/>
        <item h="1" x="5"/>
        <item m="1" x="8"/>
        <item h="1" x="6"/>
        <item h="1" x="7"/>
        <item t="default"/>
      </items>
    </pivotField>
  </pivotFields>
  <rowFields count="1">
    <field x="1"/>
  </rowFields>
  <rowItems count="44">
    <i>
      <x v="55"/>
    </i>
    <i>
      <x v="52"/>
    </i>
    <i>
      <x v="53"/>
    </i>
    <i>
      <x v="3"/>
    </i>
    <i>
      <x v="32"/>
    </i>
    <i>
      <x v="44"/>
    </i>
    <i>
      <x v="7"/>
    </i>
    <i>
      <x v="45"/>
    </i>
    <i>
      <x v="41"/>
    </i>
    <i>
      <x v="127"/>
    </i>
    <i>
      <x v="63"/>
    </i>
    <i>
      <x v="84"/>
    </i>
    <i>
      <x v="4"/>
    </i>
    <i>
      <x v="47"/>
    </i>
    <i>
      <x v="86"/>
    </i>
    <i>
      <x v="31"/>
    </i>
    <i>
      <x/>
    </i>
    <i>
      <x v="34"/>
    </i>
    <i>
      <x v="117"/>
    </i>
    <i>
      <x v="114"/>
    </i>
    <i>
      <x v="71"/>
    </i>
    <i>
      <x v="118"/>
    </i>
    <i>
      <x v="35"/>
    </i>
    <i>
      <x v="46"/>
    </i>
    <i>
      <x v="58"/>
    </i>
    <i>
      <x v="95"/>
    </i>
    <i>
      <x v="113"/>
    </i>
    <i>
      <x v="65"/>
    </i>
    <i>
      <x v="54"/>
    </i>
    <i>
      <x v="115"/>
    </i>
    <i>
      <x v="40"/>
    </i>
    <i>
      <x v="119"/>
    </i>
    <i>
      <x v="59"/>
    </i>
    <i>
      <x v="24"/>
    </i>
    <i>
      <x v="23"/>
    </i>
    <i>
      <x v="70"/>
    </i>
    <i>
      <x v="72"/>
    </i>
    <i>
      <x v="100"/>
    </i>
    <i>
      <x v="30"/>
    </i>
    <i>
      <x v="112"/>
    </i>
    <i>
      <x v="98"/>
    </i>
    <i>
      <x v="66"/>
    </i>
    <i>
      <x v="99"/>
    </i>
    <i t="grand">
      <x/>
    </i>
  </rowItems>
  <colItems count="1">
    <i/>
  </colItems>
  <pageFields count="1">
    <pageField fld="7" item="4" hier="-1"/>
  </pageFields>
  <dataFields count="1">
    <dataField name="Units Sold" fld="2" baseField="0" baseItem="0"/>
  </dataFields>
  <formats count="6"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1" type="button" dataOnly="0" labelOnly="1" outline="0" axis="axisRow" fieldPosition="0"/>
    </format>
    <format dxfId="16">
      <pivotArea dataOnly="0" labelOnly="1" outline="0" fieldPosition="0">
        <references count="1">
          <reference field="1" count="43">
            <x v="0"/>
            <x v="3"/>
            <x v="4"/>
            <x v="7"/>
            <x v="23"/>
            <x v="24"/>
            <x v="30"/>
            <x v="31"/>
            <x v="32"/>
            <x v="34"/>
            <x v="35"/>
            <x v="40"/>
            <x v="41"/>
            <x v="44"/>
            <x v="45"/>
            <x v="46"/>
            <x v="47"/>
            <x v="52"/>
            <x v="53"/>
            <x v="54"/>
            <x v="55"/>
            <x v="58"/>
            <x v="59"/>
            <x v="63"/>
            <x v="65"/>
            <x v="66"/>
            <x v="70"/>
            <x v="71"/>
            <x v="72"/>
            <x v="84"/>
            <x v="86"/>
            <x v="95"/>
            <x v="98"/>
            <x v="99"/>
            <x v="100"/>
            <x v="112"/>
            <x v="113"/>
            <x v="114"/>
            <x v="115"/>
            <x v="117"/>
            <x v="118"/>
            <x v="119"/>
            <x v="127"/>
          </reference>
        </references>
      </pivotArea>
    </format>
    <format dxfId="17">
      <pivotArea dataOnly="0" labelOnly="1" grandRow="1" outline="0" fieldPosition="0"/>
    </format>
    <format dxfId="18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74BB23-1DC8-4C2D-B047-5D6896CA099F}" name="Table7" displayName="Table7" ref="B2:I475" totalsRowShown="0" headerRowDxfId="12" dataDxfId="11" headerRowBorderDxfId="9" tableBorderDxfId="10" totalsRowBorderDxfId="8">
  <autoFilter ref="B2:I475" xr:uid="{BB74BB23-1DC8-4C2D-B047-5D6896CA099F}"/>
  <tableColumns count="8">
    <tableColumn id="1" xr3:uid="{2323B03D-5D0E-46E3-829B-9C5090F34B3E}" name="Date" dataDxfId="7"/>
    <tableColumn id="2" xr3:uid="{BC93E0BC-FD81-4160-B572-7608F9870001}" name="Product" dataDxfId="6"/>
    <tableColumn id="3" xr3:uid="{99719A05-5B8E-498C-9633-28C2841D3F0D}" name="Quantity" dataDxfId="5"/>
    <tableColumn id="4" xr3:uid="{818D2432-A177-422B-8F5F-70E72C81D886}" name="Sell_Price" dataDxfId="4"/>
    <tableColumn id="5" xr3:uid="{C0806F7A-753C-462F-A17E-2E4B0B760CF3}" name="Cost_Price" dataDxfId="3"/>
    <tableColumn id="6" xr3:uid="{1F2A5F6B-31B4-4099-8435-D111C69679B8}" name="Profit" dataDxfId="2">
      <calculatedColumnFormula>(E3-F3)*D3</calculatedColumnFormula>
    </tableColumn>
    <tableColumn id="7" xr3:uid="{F7EEE74D-F488-41EF-9D16-1951E0508419}" name="Day" dataDxfId="1">
      <calculatedColumnFormula>TEXT(B3,"dddd")</calculatedColumnFormula>
    </tableColumn>
    <tableColumn id="8" xr3:uid="{96D67D87-C5D4-402C-BC59-1F3784CA4FE7}" name="Week" dataDxfId="0">
      <calculatedColumnFormula>"Week " &amp; (INT((B3 - DATE(2026,8,3)) / 7) + 1)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4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4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F7AE-4767-4293-8EEE-F32A26172F1E}">
  <dimension ref="B2:AI44"/>
  <sheetViews>
    <sheetView tabSelected="1" topLeftCell="M31" workbookViewId="0">
      <selection activeCell="M49" sqref="M49"/>
    </sheetView>
  </sheetViews>
  <sheetFormatPr defaultRowHeight="15"/>
  <sheetData>
    <row r="2" spans="15:22" ht="15" customHeight="1">
      <c r="O2" s="85" t="s">
        <v>0</v>
      </c>
      <c r="P2" s="86"/>
      <c r="Q2" s="86"/>
      <c r="R2" s="86"/>
      <c r="S2" s="86"/>
      <c r="T2" s="86"/>
      <c r="U2" s="87"/>
    </row>
    <row r="3" spans="15:22" ht="15" customHeight="1">
      <c r="O3" s="88"/>
      <c r="P3" s="89"/>
      <c r="Q3" s="89"/>
      <c r="R3" s="89"/>
      <c r="S3" s="89"/>
      <c r="T3" s="89"/>
      <c r="U3" s="90"/>
    </row>
    <row r="4" spans="15:22" ht="15" customHeight="1">
      <c r="O4" s="88"/>
      <c r="P4" s="89"/>
      <c r="Q4" s="89"/>
      <c r="R4" s="89"/>
      <c r="S4" s="89"/>
      <c r="T4" s="89"/>
      <c r="U4" s="90"/>
    </row>
    <row r="5" spans="15:22" ht="15" customHeight="1">
      <c r="O5" s="91"/>
      <c r="P5" s="92"/>
      <c r="Q5" s="92"/>
      <c r="R5" s="92"/>
      <c r="S5" s="92"/>
      <c r="T5" s="92"/>
      <c r="U5" s="93"/>
    </row>
    <row r="6" spans="15:22" ht="15" customHeight="1">
      <c r="O6" s="76" t="s">
        <v>1</v>
      </c>
      <c r="P6" s="77"/>
      <c r="Q6" s="77"/>
      <c r="R6" s="77"/>
      <c r="S6" s="77"/>
      <c r="T6" s="77"/>
      <c r="U6" s="78"/>
      <c r="V6" s="4"/>
    </row>
    <row r="7" spans="15:22" ht="15" customHeight="1">
      <c r="O7" s="79"/>
      <c r="P7" s="80"/>
      <c r="Q7" s="80"/>
      <c r="R7" s="80"/>
      <c r="S7" s="80"/>
      <c r="T7" s="80"/>
      <c r="U7" s="81"/>
      <c r="V7" s="4"/>
    </row>
    <row r="8" spans="15:22" ht="15" customHeight="1">
      <c r="O8" s="79"/>
      <c r="P8" s="80"/>
      <c r="Q8" s="80"/>
      <c r="R8" s="80"/>
      <c r="S8" s="80"/>
      <c r="T8" s="80"/>
      <c r="U8" s="81"/>
      <c r="V8" s="4"/>
    </row>
    <row r="9" spans="15:22" ht="15" customHeight="1">
      <c r="O9" s="79"/>
      <c r="P9" s="80"/>
      <c r="Q9" s="80"/>
      <c r="R9" s="80"/>
      <c r="S9" s="80"/>
      <c r="T9" s="80"/>
      <c r="U9" s="81"/>
      <c r="V9" s="4"/>
    </row>
    <row r="10" spans="15:22" ht="15" customHeight="1">
      <c r="O10" s="79"/>
      <c r="P10" s="80"/>
      <c r="Q10" s="80"/>
      <c r="R10" s="80"/>
      <c r="S10" s="80"/>
      <c r="T10" s="80"/>
      <c r="U10" s="81"/>
      <c r="V10" s="4"/>
    </row>
    <row r="11" spans="15:22" ht="15" customHeight="1">
      <c r="O11" s="79"/>
      <c r="P11" s="80"/>
      <c r="Q11" s="80"/>
      <c r="R11" s="80"/>
      <c r="S11" s="80"/>
      <c r="T11" s="80"/>
      <c r="U11" s="81"/>
      <c r="V11" s="4"/>
    </row>
    <row r="12" spans="15:22" ht="15" customHeight="1">
      <c r="O12" s="79"/>
      <c r="P12" s="80"/>
      <c r="Q12" s="80"/>
      <c r="R12" s="80"/>
      <c r="S12" s="80"/>
      <c r="T12" s="80"/>
      <c r="U12" s="81"/>
      <c r="V12" s="4"/>
    </row>
    <row r="13" spans="15:22" ht="15" customHeight="1">
      <c r="O13" s="79"/>
      <c r="P13" s="80"/>
      <c r="Q13" s="80"/>
      <c r="R13" s="80"/>
      <c r="S13" s="80"/>
      <c r="T13" s="80"/>
      <c r="U13" s="81"/>
      <c r="V13" s="4"/>
    </row>
    <row r="14" spans="15:22" ht="15" customHeight="1">
      <c r="O14" s="79"/>
      <c r="P14" s="80"/>
      <c r="Q14" s="80"/>
      <c r="R14" s="80"/>
      <c r="S14" s="80"/>
      <c r="T14" s="80"/>
      <c r="U14" s="81"/>
      <c r="V14" s="4"/>
    </row>
    <row r="15" spans="15:22" ht="15" customHeight="1">
      <c r="O15" s="79"/>
      <c r="P15" s="80"/>
      <c r="Q15" s="80"/>
      <c r="R15" s="80"/>
      <c r="S15" s="80"/>
      <c r="T15" s="80"/>
      <c r="U15" s="81"/>
      <c r="V15" s="4"/>
    </row>
    <row r="16" spans="15:22" ht="15" customHeight="1">
      <c r="O16" s="79"/>
      <c r="P16" s="80"/>
      <c r="Q16" s="80"/>
      <c r="R16" s="80"/>
      <c r="S16" s="80"/>
      <c r="T16" s="80"/>
      <c r="U16" s="81"/>
      <c r="V16" s="4"/>
    </row>
    <row r="17" spans="2:35" ht="15" customHeight="1">
      <c r="O17" s="79"/>
      <c r="P17" s="80"/>
      <c r="Q17" s="80"/>
      <c r="R17" s="80"/>
      <c r="S17" s="80"/>
      <c r="T17" s="80"/>
      <c r="U17" s="81"/>
      <c r="V17" s="4"/>
    </row>
    <row r="18" spans="2:35" ht="15" customHeight="1">
      <c r="O18" s="79"/>
      <c r="P18" s="80"/>
      <c r="Q18" s="80"/>
      <c r="R18" s="80"/>
      <c r="S18" s="80"/>
      <c r="T18" s="80"/>
      <c r="U18" s="81"/>
      <c r="V18" s="4"/>
    </row>
    <row r="19" spans="2:35" ht="15" customHeight="1">
      <c r="O19" s="79"/>
      <c r="P19" s="80"/>
      <c r="Q19" s="80"/>
      <c r="R19" s="80"/>
      <c r="S19" s="80"/>
      <c r="T19" s="80"/>
      <c r="U19" s="81"/>
      <c r="V19" s="4"/>
    </row>
    <row r="20" spans="2:35" ht="15" customHeight="1">
      <c r="O20" s="79"/>
      <c r="P20" s="80"/>
      <c r="Q20" s="80"/>
      <c r="R20" s="80"/>
      <c r="S20" s="80"/>
      <c r="T20" s="80"/>
      <c r="U20" s="81"/>
      <c r="V20" s="4"/>
    </row>
    <row r="21" spans="2:35" ht="15" customHeight="1">
      <c r="O21" s="79"/>
      <c r="P21" s="80"/>
      <c r="Q21" s="80"/>
      <c r="R21" s="80"/>
      <c r="S21" s="80"/>
      <c r="T21" s="80"/>
      <c r="U21" s="81"/>
      <c r="V21" s="4"/>
    </row>
    <row r="22" spans="2:35" ht="15" customHeight="1">
      <c r="O22" s="82"/>
      <c r="P22" s="83"/>
      <c r="Q22" s="83"/>
      <c r="R22" s="83"/>
      <c r="S22" s="83"/>
      <c r="T22" s="83"/>
      <c r="U22" s="84"/>
      <c r="V22" s="4"/>
    </row>
    <row r="25" spans="2:35" ht="15" customHeight="1">
      <c r="B25" s="60" t="s">
        <v>2</v>
      </c>
      <c r="C25" s="61"/>
      <c r="D25" s="61"/>
      <c r="E25" s="61"/>
      <c r="F25" s="61"/>
      <c r="G25" s="61"/>
      <c r="H25" s="62"/>
      <c r="K25" s="60" t="s">
        <v>3</v>
      </c>
      <c r="L25" s="61"/>
      <c r="M25" s="61"/>
      <c r="N25" s="61"/>
      <c r="O25" s="61"/>
      <c r="P25" s="61"/>
      <c r="Q25" s="62"/>
      <c r="T25" s="60" t="s">
        <v>4</v>
      </c>
      <c r="U25" s="61"/>
      <c r="V25" s="61"/>
      <c r="W25" s="61"/>
      <c r="X25" s="61"/>
      <c r="Y25" s="61"/>
      <c r="Z25" s="62"/>
      <c r="AC25" s="60" t="s">
        <v>5</v>
      </c>
      <c r="AD25" s="61"/>
      <c r="AE25" s="61"/>
      <c r="AF25" s="61"/>
      <c r="AG25" s="61"/>
      <c r="AH25" s="61"/>
      <c r="AI25" s="62"/>
    </row>
    <row r="26" spans="2:35" ht="15" customHeight="1">
      <c r="B26" s="63"/>
      <c r="C26" s="64"/>
      <c r="D26" s="64"/>
      <c r="E26" s="64"/>
      <c r="F26" s="64"/>
      <c r="G26" s="64"/>
      <c r="H26" s="65"/>
      <c r="K26" s="63"/>
      <c r="L26" s="64"/>
      <c r="M26" s="64"/>
      <c r="N26" s="64"/>
      <c r="O26" s="64"/>
      <c r="P26" s="64"/>
      <c r="Q26" s="65"/>
      <c r="T26" s="63"/>
      <c r="U26" s="64"/>
      <c r="V26" s="64"/>
      <c r="W26" s="64"/>
      <c r="X26" s="64"/>
      <c r="Y26" s="64"/>
      <c r="Z26" s="65"/>
      <c r="AC26" s="63"/>
      <c r="AD26" s="64"/>
      <c r="AE26" s="64"/>
      <c r="AF26" s="64"/>
      <c r="AG26" s="64"/>
      <c r="AH26" s="64"/>
      <c r="AI26" s="65"/>
    </row>
    <row r="27" spans="2:35" ht="15" customHeight="1">
      <c r="B27" s="75" t="s">
        <v>6</v>
      </c>
      <c r="C27" s="67"/>
      <c r="D27" s="67"/>
      <c r="E27" s="67"/>
      <c r="F27" s="67"/>
      <c r="G27" s="67"/>
      <c r="H27" s="68"/>
      <c r="K27" s="75" t="s">
        <v>7</v>
      </c>
      <c r="L27" s="67"/>
      <c r="M27" s="67"/>
      <c r="N27" s="67"/>
      <c r="O27" s="67"/>
      <c r="P27" s="67"/>
      <c r="Q27" s="68"/>
      <c r="T27" s="79" t="s">
        <v>8</v>
      </c>
      <c r="U27" s="70"/>
      <c r="V27" s="70"/>
      <c r="W27" s="70"/>
      <c r="X27" s="70"/>
      <c r="Y27" s="70"/>
      <c r="Z27" s="71"/>
      <c r="AC27" s="75" t="s">
        <v>9</v>
      </c>
      <c r="AD27" s="67"/>
      <c r="AE27" s="67"/>
      <c r="AF27" s="67"/>
      <c r="AG27" s="67"/>
      <c r="AH27" s="67"/>
      <c r="AI27" s="68"/>
    </row>
    <row r="28" spans="2:35" ht="15" customHeight="1">
      <c r="B28" s="69"/>
      <c r="C28" s="70"/>
      <c r="D28" s="70"/>
      <c r="E28" s="70"/>
      <c r="F28" s="70"/>
      <c r="G28" s="70"/>
      <c r="H28" s="71"/>
      <c r="K28" s="69"/>
      <c r="L28" s="70"/>
      <c r="M28" s="70"/>
      <c r="N28" s="70"/>
      <c r="O28" s="70"/>
      <c r="P28" s="70"/>
      <c r="Q28" s="71"/>
      <c r="T28" s="69"/>
      <c r="U28" s="70"/>
      <c r="V28" s="70"/>
      <c r="W28" s="70"/>
      <c r="X28" s="70"/>
      <c r="Y28" s="70"/>
      <c r="Z28" s="71"/>
      <c r="AC28" s="69"/>
      <c r="AD28" s="70"/>
      <c r="AE28" s="70"/>
      <c r="AF28" s="70"/>
      <c r="AG28" s="70"/>
      <c r="AH28" s="70"/>
      <c r="AI28" s="71"/>
    </row>
    <row r="29" spans="2:35" ht="15" customHeight="1">
      <c r="B29" s="69"/>
      <c r="C29" s="70"/>
      <c r="D29" s="70"/>
      <c r="E29" s="70"/>
      <c r="F29" s="70"/>
      <c r="G29" s="70"/>
      <c r="H29" s="71"/>
      <c r="K29" s="69"/>
      <c r="L29" s="70"/>
      <c r="M29" s="70"/>
      <c r="N29" s="70"/>
      <c r="O29" s="70"/>
      <c r="P29" s="70"/>
      <c r="Q29" s="71"/>
      <c r="T29" s="69"/>
      <c r="U29" s="70"/>
      <c r="V29" s="70"/>
      <c r="W29" s="70"/>
      <c r="X29" s="70"/>
      <c r="Y29" s="70"/>
      <c r="Z29" s="71"/>
      <c r="AC29" s="69"/>
      <c r="AD29" s="70"/>
      <c r="AE29" s="70"/>
      <c r="AF29" s="70"/>
      <c r="AG29" s="70"/>
      <c r="AH29" s="70"/>
      <c r="AI29" s="71"/>
    </row>
    <row r="30" spans="2:35" ht="15" customHeight="1">
      <c r="B30" s="69"/>
      <c r="C30" s="70"/>
      <c r="D30" s="70"/>
      <c r="E30" s="70"/>
      <c r="F30" s="70"/>
      <c r="G30" s="70"/>
      <c r="H30" s="71"/>
      <c r="K30" s="69"/>
      <c r="L30" s="70"/>
      <c r="M30" s="70"/>
      <c r="N30" s="70"/>
      <c r="O30" s="70"/>
      <c r="P30" s="70"/>
      <c r="Q30" s="71"/>
      <c r="T30" s="69"/>
      <c r="U30" s="70"/>
      <c r="V30" s="70"/>
      <c r="W30" s="70"/>
      <c r="X30" s="70"/>
      <c r="Y30" s="70"/>
      <c r="Z30" s="71"/>
      <c r="AC30" s="69"/>
      <c r="AD30" s="70"/>
      <c r="AE30" s="70"/>
      <c r="AF30" s="70"/>
      <c r="AG30" s="70"/>
      <c r="AH30" s="70"/>
      <c r="AI30" s="71"/>
    </row>
    <row r="31" spans="2:35" ht="15" customHeight="1">
      <c r="B31" s="69"/>
      <c r="C31" s="70"/>
      <c r="D31" s="70"/>
      <c r="E31" s="70"/>
      <c r="F31" s="70"/>
      <c r="G31" s="70"/>
      <c r="H31" s="71"/>
      <c r="K31" s="69"/>
      <c r="L31" s="70"/>
      <c r="M31" s="70"/>
      <c r="N31" s="70"/>
      <c r="O31" s="70"/>
      <c r="P31" s="70"/>
      <c r="Q31" s="71"/>
      <c r="T31" s="69"/>
      <c r="U31" s="70"/>
      <c r="V31" s="70"/>
      <c r="W31" s="70"/>
      <c r="X31" s="70"/>
      <c r="Y31" s="70"/>
      <c r="Z31" s="71"/>
      <c r="AC31" s="69"/>
      <c r="AD31" s="70"/>
      <c r="AE31" s="70"/>
      <c r="AF31" s="70"/>
      <c r="AG31" s="70"/>
      <c r="AH31" s="70"/>
      <c r="AI31" s="71"/>
    </row>
    <row r="32" spans="2:35" ht="15" customHeight="1">
      <c r="B32" s="69"/>
      <c r="C32" s="70"/>
      <c r="D32" s="70"/>
      <c r="E32" s="70"/>
      <c r="F32" s="70"/>
      <c r="G32" s="70"/>
      <c r="H32" s="71"/>
      <c r="K32" s="69"/>
      <c r="L32" s="70"/>
      <c r="M32" s="70"/>
      <c r="N32" s="70"/>
      <c r="O32" s="70"/>
      <c r="P32" s="70"/>
      <c r="Q32" s="71"/>
      <c r="T32" s="69"/>
      <c r="U32" s="70"/>
      <c r="V32" s="70"/>
      <c r="W32" s="70"/>
      <c r="X32" s="70"/>
      <c r="Y32" s="70"/>
      <c r="Z32" s="71"/>
      <c r="AC32" s="69"/>
      <c r="AD32" s="70"/>
      <c r="AE32" s="70"/>
      <c r="AF32" s="70"/>
      <c r="AG32" s="70"/>
      <c r="AH32" s="70"/>
      <c r="AI32" s="71"/>
    </row>
    <row r="33" spans="2:35" ht="15" customHeight="1">
      <c r="B33" s="72"/>
      <c r="C33" s="73"/>
      <c r="D33" s="73"/>
      <c r="E33" s="73"/>
      <c r="F33" s="73"/>
      <c r="G33" s="73"/>
      <c r="H33" s="74"/>
      <c r="K33" s="72"/>
      <c r="L33" s="73"/>
      <c r="M33" s="73"/>
      <c r="N33" s="73"/>
      <c r="O33" s="73"/>
      <c r="P33" s="73"/>
      <c r="Q33" s="74"/>
      <c r="T33" s="72"/>
      <c r="U33" s="73"/>
      <c r="V33" s="73"/>
      <c r="W33" s="73"/>
      <c r="X33" s="73"/>
      <c r="Y33" s="73"/>
      <c r="Z33" s="74"/>
      <c r="AC33" s="72"/>
      <c r="AD33" s="73"/>
      <c r="AE33" s="73"/>
      <c r="AF33" s="73"/>
      <c r="AG33" s="73"/>
      <c r="AH33" s="73"/>
      <c r="AI33" s="74"/>
    </row>
    <row r="36" spans="2:35" ht="15" customHeight="1">
      <c r="B36" s="60" t="s">
        <v>10</v>
      </c>
      <c r="C36" s="61"/>
      <c r="D36" s="61"/>
      <c r="E36" s="61"/>
      <c r="F36" s="61"/>
      <c r="G36" s="61"/>
      <c r="H36" s="62"/>
      <c r="K36" s="60" t="s">
        <v>11</v>
      </c>
      <c r="L36" s="61"/>
      <c r="M36" s="61"/>
      <c r="N36" s="61"/>
      <c r="O36" s="61"/>
      <c r="P36" s="61"/>
      <c r="Q36" s="62"/>
      <c r="T36" s="60" t="s">
        <v>12</v>
      </c>
      <c r="U36" s="61"/>
      <c r="V36" s="61"/>
      <c r="W36" s="61"/>
      <c r="X36" s="61"/>
      <c r="Y36" s="61"/>
      <c r="Z36" s="62"/>
      <c r="AC36" s="60" t="s">
        <v>13</v>
      </c>
      <c r="AD36" s="61"/>
      <c r="AE36" s="61"/>
      <c r="AF36" s="61"/>
      <c r="AG36" s="61"/>
      <c r="AH36" s="61"/>
      <c r="AI36" s="62"/>
    </row>
    <row r="37" spans="2:35" ht="15" customHeight="1">
      <c r="B37" s="63"/>
      <c r="C37" s="64"/>
      <c r="D37" s="64"/>
      <c r="E37" s="64"/>
      <c r="F37" s="64"/>
      <c r="G37" s="64"/>
      <c r="H37" s="65"/>
      <c r="K37" s="63"/>
      <c r="L37" s="64"/>
      <c r="M37" s="64"/>
      <c r="N37" s="64"/>
      <c r="O37" s="64"/>
      <c r="P37" s="64"/>
      <c r="Q37" s="65"/>
      <c r="T37" s="63"/>
      <c r="U37" s="64"/>
      <c r="V37" s="64"/>
      <c r="W37" s="64"/>
      <c r="X37" s="64"/>
      <c r="Y37" s="64"/>
      <c r="Z37" s="65"/>
      <c r="AC37" s="63"/>
      <c r="AD37" s="64"/>
      <c r="AE37" s="64"/>
      <c r="AF37" s="64"/>
      <c r="AG37" s="64"/>
      <c r="AH37" s="64"/>
      <c r="AI37" s="65"/>
    </row>
    <row r="38" spans="2:35" ht="15" customHeight="1">
      <c r="B38" s="75" t="s">
        <v>14</v>
      </c>
      <c r="C38" s="67"/>
      <c r="D38" s="67"/>
      <c r="E38" s="67"/>
      <c r="F38" s="67"/>
      <c r="G38" s="67"/>
      <c r="H38" s="68"/>
      <c r="K38" s="75" t="s">
        <v>15</v>
      </c>
      <c r="L38" s="67"/>
      <c r="M38" s="67"/>
      <c r="N38" s="67"/>
      <c r="O38" s="67"/>
      <c r="P38" s="67"/>
      <c r="Q38" s="68"/>
      <c r="T38" s="66" t="s">
        <v>16</v>
      </c>
      <c r="U38" s="67"/>
      <c r="V38" s="67"/>
      <c r="W38" s="67"/>
      <c r="X38" s="67"/>
      <c r="Y38" s="67"/>
      <c r="Z38" s="68"/>
      <c r="AC38" s="66" t="s">
        <v>16</v>
      </c>
      <c r="AD38" s="67"/>
      <c r="AE38" s="67"/>
      <c r="AF38" s="67"/>
      <c r="AG38" s="67"/>
      <c r="AH38" s="67"/>
      <c r="AI38" s="68"/>
    </row>
    <row r="39" spans="2:35" ht="15" customHeight="1">
      <c r="B39" s="69"/>
      <c r="C39" s="70"/>
      <c r="D39" s="70"/>
      <c r="E39" s="70"/>
      <c r="F39" s="70"/>
      <c r="G39" s="70"/>
      <c r="H39" s="71"/>
      <c r="K39" s="69"/>
      <c r="L39" s="70"/>
      <c r="M39" s="70"/>
      <c r="N39" s="70"/>
      <c r="O39" s="70"/>
      <c r="P39" s="70"/>
      <c r="Q39" s="71"/>
      <c r="T39" s="69"/>
      <c r="U39" s="70"/>
      <c r="V39" s="70"/>
      <c r="W39" s="70"/>
      <c r="X39" s="70"/>
      <c r="Y39" s="70"/>
      <c r="Z39" s="71"/>
      <c r="AC39" s="69"/>
      <c r="AD39" s="70"/>
      <c r="AE39" s="70"/>
      <c r="AF39" s="70"/>
      <c r="AG39" s="70"/>
      <c r="AH39" s="70"/>
      <c r="AI39" s="71"/>
    </row>
    <row r="40" spans="2:35" ht="15" customHeight="1">
      <c r="B40" s="69"/>
      <c r="C40" s="70"/>
      <c r="D40" s="70"/>
      <c r="E40" s="70"/>
      <c r="F40" s="70"/>
      <c r="G40" s="70"/>
      <c r="H40" s="71"/>
      <c r="K40" s="69"/>
      <c r="L40" s="70"/>
      <c r="M40" s="70"/>
      <c r="N40" s="70"/>
      <c r="O40" s="70"/>
      <c r="P40" s="70"/>
      <c r="Q40" s="71"/>
      <c r="T40" s="69"/>
      <c r="U40" s="70"/>
      <c r="V40" s="70"/>
      <c r="W40" s="70"/>
      <c r="X40" s="70"/>
      <c r="Y40" s="70"/>
      <c r="Z40" s="71"/>
      <c r="AC40" s="69"/>
      <c r="AD40" s="70"/>
      <c r="AE40" s="70"/>
      <c r="AF40" s="70"/>
      <c r="AG40" s="70"/>
      <c r="AH40" s="70"/>
      <c r="AI40" s="71"/>
    </row>
    <row r="41" spans="2:35" ht="15" customHeight="1">
      <c r="B41" s="69"/>
      <c r="C41" s="70"/>
      <c r="D41" s="70"/>
      <c r="E41" s="70"/>
      <c r="F41" s="70"/>
      <c r="G41" s="70"/>
      <c r="H41" s="71"/>
      <c r="K41" s="69"/>
      <c r="L41" s="70"/>
      <c r="M41" s="70"/>
      <c r="N41" s="70"/>
      <c r="O41" s="70"/>
      <c r="P41" s="70"/>
      <c r="Q41" s="71"/>
      <c r="T41" s="69"/>
      <c r="U41" s="70"/>
      <c r="V41" s="70"/>
      <c r="W41" s="70"/>
      <c r="X41" s="70"/>
      <c r="Y41" s="70"/>
      <c r="Z41" s="71"/>
      <c r="AC41" s="69"/>
      <c r="AD41" s="70"/>
      <c r="AE41" s="70"/>
      <c r="AF41" s="70"/>
      <c r="AG41" s="70"/>
      <c r="AH41" s="70"/>
      <c r="AI41" s="71"/>
    </row>
    <row r="42" spans="2:35" ht="15" customHeight="1">
      <c r="B42" s="69"/>
      <c r="C42" s="70"/>
      <c r="D42" s="70"/>
      <c r="E42" s="70"/>
      <c r="F42" s="70"/>
      <c r="G42" s="70"/>
      <c r="H42" s="71"/>
      <c r="K42" s="69"/>
      <c r="L42" s="70"/>
      <c r="M42" s="70"/>
      <c r="N42" s="70"/>
      <c r="O42" s="70"/>
      <c r="P42" s="70"/>
      <c r="Q42" s="71"/>
      <c r="T42" s="69"/>
      <c r="U42" s="70"/>
      <c r="V42" s="70"/>
      <c r="W42" s="70"/>
      <c r="X42" s="70"/>
      <c r="Y42" s="70"/>
      <c r="Z42" s="71"/>
      <c r="AC42" s="69"/>
      <c r="AD42" s="70"/>
      <c r="AE42" s="70"/>
      <c r="AF42" s="70"/>
      <c r="AG42" s="70"/>
      <c r="AH42" s="70"/>
      <c r="AI42" s="71"/>
    </row>
    <row r="43" spans="2:35" ht="15" customHeight="1">
      <c r="B43" s="69"/>
      <c r="C43" s="70"/>
      <c r="D43" s="70"/>
      <c r="E43" s="70"/>
      <c r="F43" s="70"/>
      <c r="G43" s="70"/>
      <c r="H43" s="71"/>
      <c r="K43" s="69"/>
      <c r="L43" s="70"/>
      <c r="M43" s="70"/>
      <c r="N43" s="70"/>
      <c r="O43" s="70"/>
      <c r="P43" s="70"/>
      <c r="Q43" s="71"/>
      <c r="T43" s="69"/>
      <c r="U43" s="70"/>
      <c r="V43" s="70"/>
      <c r="W43" s="70"/>
      <c r="X43" s="70"/>
      <c r="Y43" s="70"/>
      <c r="Z43" s="71"/>
      <c r="AC43" s="69"/>
      <c r="AD43" s="70"/>
      <c r="AE43" s="70"/>
      <c r="AF43" s="70"/>
      <c r="AG43" s="70"/>
      <c r="AH43" s="70"/>
      <c r="AI43" s="71"/>
    </row>
    <row r="44" spans="2:35" ht="15" customHeight="1">
      <c r="B44" s="72"/>
      <c r="C44" s="73"/>
      <c r="D44" s="73"/>
      <c r="E44" s="73"/>
      <c r="F44" s="73"/>
      <c r="G44" s="73"/>
      <c r="H44" s="74"/>
      <c r="K44" s="72"/>
      <c r="L44" s="73"/>
      <c r="M44" s="73"/>
      <c r="N44" s="73"/>
      <c r="O44" s="73"/>
      <c r="P44" s="73"/>
      <c r="Q44" s="74"/>
      <c r="T44" s="72"/>
      <c r="U44" s="73"/>
      <c r="V44" s="73"/>
      <c r="W44" s="73"/>
      <c r="X44" s="73"/>
      <c r="Y44" s="73"/>
      <c r="Z44" s="74"/>
      <c r="AC44" s="72"/>
      <c r="AD44" s="73"/>
      <c r="AE44" s="73"/>
      <c r="AF44" s="73"/>
      <c r="AG44" s="73"/>
      <c r="AH44" s="73"/>
      <c r="AI44" s="74"/>
    </row>
  </sheetData>
  <mergeCells count="18">
    <mergeCell ref="O6:U22"/>
    <mergeCell ref="O2:U5"/>
    <mergeCell ref="T25:Z26"/>
    <mergeCell ref="T27:Z33"/>
    <mergeCell ref="AC25:AI26"/>
    <mergeCell ref="AC27:AI33"/>
    <mergeCell ref="T36:Z37"/>
    <mergeCell ref="T38:Z44"/>
    <mergeCell ref="AC36:AI37"/>
    <mergeCell ref="AC38:AI44"/>
    <mergeCell ref="B25:H26"/>
    <mergeCell ref="B27:H33"/>
    <mergeCell ref="K25:Q26"/>
    <mergeCell ref="K27:Q33"/>
    <mergeCell ref="B36:H37"/>
    <mergeCell ref="B38:H44"/>
    <mergeCell ref="K36:Q37"/>
    <mergeCell ref="K38:Q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ECDE-DD61-4D1B-A515-B6F3577627E6}">
  <dimension ref="B2:I504"/>
  <sheetViews>
    <sheetView topLeftCell="A2" workbookViewId="0">
      <selection activeCell="B306" sqref="B306"/>
    </sheetView>
  </sheetViews>
  <sheetFormatPr defaultRowHeight="26.25" customHeight="1"/>
  <cols>
    <col min="2" max="7" width="22.7109375" customWidth="1"/>
    <col min="8" max="9" width="22.85546875" customWidth="1"/>
  </cols>
  <sheetData>
    <row r="2" spans="2:9" ht="26.25" customHeight="1">
      <c r="B2" s="98" t="s">
        <v>17</v>
      </c>
      <c r="C2" s="95" t="s">
        <v>18</v>
      </c>
      <c r="D2" s="96" t="s">
        <v>19</v>
      </c>
      <c r="E2" s="97" t="s">
        <v>20</v>
      </c>
      <c r="F2" s="97" t="s">
        <v>21</v>
      </c>
      <c r="G2" s="97" t="s">
        <v>22</v>
      </c>
      <c r="H2" s="95" t="s">
        <v>23</v>
      </c>
      <c r="I2" s="101" t="s">
        <v>24</v>
      </c>
    </row>
    <row r="3" spans="2:9" ht="26.25" customHeight="1">
      <c r="B3" s="99">
        <v>46237</v>
      </c>
      <c r="C3" s="1" t="s">
        <v>25</v>
      </c>
      <c r="D3" s="2">
        <v>6</v>
      </c>
      <c r="E3" s="7">
        <v>270</v>
      </c>
      <c r="F3" s="7">
        <v>253</v>
      </c>
      <c r="G3" s="7">
        <f>(E3-F3)*D3</f>
        <v>102</v>
      </c>
      <c r="H3" s="1" t="str">
        <f>TEXT(B3,"dddd")</f>
        <v>Monday</v>
      </c>
      <c r="I3" s="102" t="str">
        <f t="shared" ref="I3:I34" si="0">"Week " &amp; (INT((B3 - DATE(2026,8,3)) / 7) + 1)</f>
        <v>Week 1</v>
      </c>
    </row>
    <row r="4" spans="2:9" ht="26.25" customHeight="1">
      <c r="B4" s="99">
        <v>46237</v>
      </c>
      <c r="C4" s="1" t="s">
        <v>26</v>
      </c>
      <c r="D4" s="2">
        <v>1</v>
      </c>
      <c r="E4" s="7">
        <v>1100</v>
      </c>
      <c r="F4" s="7">
        <v>980</v>
      </c>
      <c r="G4" s="7">
        <f t="shared" ref="G4:G56" si="1">(E4-F4)*D4</f>
        <v>120</v>
      </c>
      <c r="H4" s="1" t="str">
        <f t="shared" ref="H4:H56" si="2">TEXT(B4,"dddd")</f>
        <v>Monday</v>
      </c>
      <c r="I4" s="102" t="str">
        <f t="shared" si="0"/>
        <v>Week 1</v>
      </c>
    </row>
    <row r="5" spans="2:9" ht="26.25" customHeight="1">
      <c r="B5" s="99">
        <v>46237</v>
      </c>
      <c r="C5" s="1" t="s">
        <v>27</v>
      </c>
      <c r="D5" s="2">
        <v>2</v>
      </c>
      <c r="E5" s="7">
        <v>260</v>
      </c>
      <c r="F5" s="7">
        <v>234</v>
      </c>
      <c r="G5" s="7">
        <f t="shared" si="1"/>
        <v>52</v>
      </c>
      <c r="H5" s="1" t="str">
        <f t="shared" si="2"/>
        <v>Monday</v>
      </c>
      <c r="I5" s="102" t="str">
        <f t="shared" si="0"/>
        <v>Week 1</v>
      </c>
    </row>
    <row r="6" spans="2:9" ht="26.25" customHeight="1">
      <c r="B6" s="99">
        <v>46237</v>
      </c>
      <c r="C6" s="1" t="s">
        <v>28</v>
      </c>
      <c r="D6" s="2">
        <v>1</v>
      </c>
      <c r="E6" s="7">
        <v>1300</v>
      </c>
      <c r="F6" s="7">
        <v>1180</v>
      </c>
      <c r="G6" s="7">
        <f t="shared" si="1"/>
        <v>120</v>
      </c>
      <c r="H6" s="1" t="str">
        <f t="shared" si="2"/>
        <v>Monday</v>
      </c>
      <c r="I6" s="102" t="str">
        <f t="shared" si="0"/>
        <v>Week 1</v>
      </c>
    </row>
    <row r="7" spans="2:9" ht="26.25" customHeight="1">
      <c r="B7" s="99">
        <v>46237</v>
      </c>
      <c r="C7" s="1" t="s">
        <v>29</v>
      </c>
      <c r="D7" s="2">
        <v>4</v>
      </c>
      <c r="E7" s="7">
        <v>40</v>
      </c>
      <c r="F7" s="7">
        <v>33</v>
      </c>
      <c r="G7" s="7">
        <f t="shared" si="1"/>
        <v>28</v>
      </c>
      <c r="H7" s="1" t="str">
        <f t="shared" si="2"/>
        <v>Monday</v>
      </c>
      <c r="I7" s="102" t="str">
        <f t="shared" si="0"/>
        <v>Week 1</v>
      </c>
    </row>
    <row r="8" spans="2:9" ht="26.25" customHeight="1">
      <c r="B8" s="99">
        <v>46237</v>
      </c>
      <c r="C8" s="1" t="s">
        <v>30</v>
      </c>
      <c r="D8" s="2">
        <v>8</v>
      </c>
      <c r="E8" s="7">
        <v>10</v>
      </c>
      <c r="F8" s="7">
        <v>9.1</v>
      </c>
      <c r="G8" s="7">
        <f t="shared" si="1"/>
        <v>7.2000000000000028</v>
      </c>
      <c r="H8" s="1" t="str">
        <f t="shared" si="2"/>
        <v>Monday</v>
      </c>
      <c r="I8" s="102" t="str">
        <f t="shared" si="0"/>
        <v>Week 1</v>
      </c>
    </row>
    <row r="9" spans="2:9" ht="26.25" customHeight="1">
      <c r="B9" s="99">
        <v>46237</v>
      </c>
      <c r="C9" s="1" t="s">
        <v>31</v>
      </c>
      <c r="D9" s="2">
        <v>1</v>
      </c>
      <c r="E9" s="7">
        <v>350</v>
      </c>
      <c r="F9" s="7">
        <v>280</v>
      </c>
      <c r="G9" s="7">
        <f t="shared" si="1"/>
        <v>70</v>
      </c>
      <c r="H9" s="1" t="str">
        <f t="shared" si="2"/>
        <v>Monday</v>
      </c>
      <c r="I9" s="102" t="str">
        <f t="shared" si="0"/>
        <v>Week 1</v>
      </c>
    </row>
    <row r="10" spans="2:9" ht="26.25" customHeight="1">
      <c r="B10" s="99">
        <v>46237</v>
      </c>
      <c r="C10" s="1" t="s">
        <v>32</v>
      </c>
      <c r="D10" s="2">
        <v>6</v>
      </c>
      <c r="E10" s="7">
        <v>60</v>
      </c>
      <c r="F10" s="7">
        <v>51</v>
      </c>
      <c r="G10" s="7">
        <f t="shared" si="1"/>
        <v>54</v>
      </c>
      <c r="H10" s="1" t="str">
        <f t="shared" si="2"/>
        <v>Monday</v>
      </c>
      <c r="I10" s="102" t="str">
        <f t="shared" si="0"/>
        <v>Week 1</v>
      </c>
    </row>
    <row r="11" spans="2:9" ht="26.25" customHeight="1">
      <c r="B11" s="99">
        <v>46237</v>
      </c>
      <c r="C11" s="1" t="s">
        <v>33</v>
      </c>
      <c r="D11" s="2">
        <v>3</v>
      </c>
      <c r="E11" s="7">
        <v>60</v>
      </c>
      <c r="F11" s="7">
        <v>57</v>
      </c>
      <c r="G11" s="7">
        <f t="shared" si="1"/>
        <v>9</v>
      </c>
      <c r="H11" s="1" t="str">
        <f t="shared" si="2"/>
        <v>Monday</v>
      </c>
      <c r="I11" s="102" t="str">
        <f t="shared" si="0"/>
        <v>Week 1</v>
      </c>
    </row>
    <row r="12" spans="2:9" ht="26.25" customHeight="1">
      <c r="B12" s="99">
        <v>46238</v>
      </c>
      <c r="C12" s="1" t="s">
        <v>34</v>
      </c>
      <c r="D12" s="2">
        <v>6</v>
      </c>
      <c r="E12" s="7">
        <v>550</v>
      </c>
      <c r="F12" s="7">
        <v>523</v>
      </c>
      <c r="G12" s="7">
        <f t="shared" si="1"/>
        <v>162</v>
      </c>
      <c r="H12" s="1" t="str">
        <f t="shared" si="2"/>
        <v>Tuesday</v>
      </c>
      <c r="I12" s="102" t="str">
        <f t="shared" si="0"/>
        <v>Week 1</v>
      </c>
    </row>
    <row r="13" spans="2:9" ht="26.25" customHeight="1">
      <c r="B13" s="99">
        <v>46238</v>
      </c>
      <c r="C13" s="1" t="s">
        <v>35</v>
      </c>
      <c r="D13" s="2">
        <v>6</v>
      </c>
      <c r="E13" s="7">
        <v>90</v>
      </c>
      <c r="F13" s="7">
        <v>78</v>
      </c>
      <c r="G13" s="7">
        <f t="shared" si="1"/>
        <v>72</v>
      </c>
      <c r="H13" s="1" t="str">
        <f t="shared" si="2"/>
        <v>Tuesday</v>
      </c>
      <c r="I13" s="102" t="str">
        <f t="shared" si="0"/>
        <v>Week 1</v>
      </c>
    </row>
    <row r="14" spans="2:9" ht="26.25" customHeight="1">
      <c r="B14" s="99">
        <v>46238</v>
      </c>
      <c r="C14" s="1" t="s">
        <v>36</v>
      </c>
      <c r="D14" s="2">
        <v>4</v>
      </c>
      <c r="E14" s="7">
        <v>110</v>
      </c>
      <c r="F14" s="7">
        <v>89</v>
      </c>
      <c r="G14" s="7">
        <f t="shared" si="1"/>
        <v>84</v>
      </c>
      <c r="H14" s="1" t="str">
        <f t="shared" si="2"/>
        <v>Tuesday</v>
      </c>
      <c r="I14" s="102" t="str">
        <f t="shared" si="0"/>
        <v>Week 1</v>
      </c>
    </row>
    <row r="15" spans="2:9" ht="26.25" customHeight="1">
      <c r="B15" s="99">
        <v>46238</v>
      </c>
      <c r="C15" s="1" t="s">
        <v>37</v>
      </c>
      <c r="D15" s="2">
        <v>2</v>
      </c>
      <c r="E15" s="7">
        <v>140</v>
      </c>
      <c r="F15" s="7">
        <v>125</v>
      </c>
      <c r="G15" s="7">
        <f t="shared" si="1"/>
        <v>30</v>
      </c>
      <c r="H15" s="1" t="str">
        <f t="shared" si="2"/>
        <v>Tuesday</v>
      </c>
      <c r="I15" s="102" t="str">
        <f t="shared" si="0"/>
        <v>Week 1</v>
      </c>
    </row>
    <row r="16" spans="2:9" ht="26.25" customHeight="1">
      <c r="B16" s="99">
        <v>46238</v>
      </c>
      <c r="C16" s="1" t="s">
        <v>38</v>
      </c>
      <c r="D16" s="2">
        <v>2</v>
      </c>
      <c r="E16" s="7">
        <v>35</v>
      </c>
      <c r="F16" s="7">
        <v>28</v>
      </c>
      <c r="G16" s="7">
        <f t="shared" si="1"/>
        <v>14</v>
      </c>
      <c r="H16" s="1" t="str">
        <f t="shared" si="2"/>
        <v>Tuesday</v>
      </c>
      <c r="I16" s="102" t="str">
        <f t="shared" si="0"/>
        <v>Week 1</v>
      </c>
    </row>
    <row r="17" spans="2:9" ht="26.25" customHeight="1">
      <c r="B17" s="99">
        <v>46238</v>
      </c>
      <c r="C17" s="1" t="s">
        <v>32</v>
      </c>
      <c r="D17" s="2">
        <v>3</v>
      </c>
      <c r="E17" s="7">
        <v>60</v>
      </c>
      <c r="F17" s="7">
        <v>51</v>
      </c>
      <c r="G17" s="7">
        <f t="shared" si="1"/>
        <v>27</v>
      </c>
      <c r="H17" s="1" t="str">
        <f t="shared" si="2"/>
        <v>Tuesday</v>
      </c>
      <c r="I17" s="102" t="str">
        <f t="shared" si="0"/>
        <v>Week 1</v>
      </c>
    </row>
    <row r="18" spans="2:9" ht="26.25" customHeight="1">
      <c r="B18" s="99">
        <v>46238</v>
      </c>
      <c r="C18" s="1" t="s">
        <v>39</v>
      </c>
      <c r="D18" s="2">
        <v>7</v>
      </c>
      <c r="E18" s="7">
        <v>10</v>
      </c>
      <c r="F18" s="7">
        <v>8</v>
      </c>
      <c r="G18" s="7">
        <f t="shared" si="1"/>
        <v>14</v>
      </c>
      <c r="H18" s="1" t="str">
        <f t="shared" si="2"/>
        <v>Tuesday</v>
      </c>
      <c r="I18" s="102" t="str">
        <f t="shared" si="0"/>
        <v>Week 1</v>
      </c>
    </row>
    <row r="19" spans="2:9" ht="26.25" customHeight="1">
      <c r="B19" s="99">
        <v>46238</v>
      </c>
      <c r="C19" s="1" t="s">
        <v>40</v>
      </c>
      <c r="D19" s="2">
        <v>2</v>
      </c>
      <c r="E19" s="7">
        <v>700</v>
      </c>
      <c r="F19" s="7">
        <v>560</v>
      </c>
      <c r="G19" s="7">
        <f t="shared" si="1"/>
        <v>280</v>
      </c>
      <c r="H19" s="1" t="str">
        <f t="shared" si="2"/>
        <v>Tuesday</v>
      </c>
      <c r="I19" s="102" t="str">
        <f t="shared" si="0"/>
        <v>Week 1</v>
      </c>
    </row>
    <row r="20" spans="2:9" ht="26.25" customHeight="1">
      <c r="B20" s="99">
        <v>46239</v>
      </c>
      <c r="C20" s="1" t="s">
        <v>41</v>
      </c>
      <c r="D20" s="2">
        <v>2</v>
      </c>
      <c r="E20" s="7">
        <v>330</v>
      </c>
      <c r="F20" s="7">
        <v>297</v>
      </c>
      <c r="G20" s="7">
        <f t="shared" si="1"/>
        <v>66</v>
      </c>
      <c r="H20" s="1" t="str">
        <f t="shared" si="2"/>
        <v>Wednesday</v>
      </c>
      <c r="I20" s="102" t="str">
        <f t="shared" si="0"/>
        <v>Week 1</v>
      </c>
    </row>
    <row r="21" spans="2:9" ht="26.25" customHeight="1">
      <c r="B21" s="99">
        <v>46239</v>
      </c>
      <c r="C21" s="1" t="s">
        <v>42</v>
      </c>
      <c r="D21" s="2">
        <v>5</v>
      </c>
      <c r="E21" s="7">
        <v>50</v>
      </c>
      <c r="F21" s="7">
        <v>39</v>
      </c>
      <c r="G21" s="7">
        <f t="shared" si="1"/>
        <v>55</v>
      </c>
      <c r="H21" s="1" t="str">
        <f t="shared" si="2"/>
        <v>Wednesday</v>
      </c>
      <c r="I21" s="102" t="str">
        <f t="shared" si="0"/>
        <v>Week 1</v>
      </c>
    </row>
    <row r="22" spans="2:9" ht="26.25" customHeight="1">
      <c r="B22" s="99">
        <v>46239</v>
      </c>
      <c r="C22" s="1" t="s">
        <v>43</v>
      </c>
      <c r="D22" s="2">
        <v>6</v>
      </c>
      <c r="E22" s="7">
        <v>60</v>
      </c>
      <c r="F22" s="7">
        <v>52</v>
      </c>
      <c r="G22" s="7">
        <f t="shared" si="1"/>
        <v>48</v>
      </c>
      <c r="H22" s="1" t="str">
        <f t="shared" si="2"/>
        <v>Wednesday</v>
      </c>
      <c r="I22" s="102" t="str">
        <f t="shared" si="0"/>
        <v>Week 1</v>
      </c>
    </row>
    <row r="23" spans="2:9" ht="26.25" customHeight="1">
      <c r="B23" s="99">
        <v>46239</v>
      </c>
      <c r="C23" s="1" t="s">
        <v>44</v>
      </c>
      <c r="D23" s="2">
        <v>2</v>
      </c>
      <c r="E23" s="7">
        <v>110</v>
      </c>
      <c r="F23" s="7">
        <v>92</v>
      </c>
      <c r="G23" s="7">
        <f t="shared" si="1"/>
        <v>36</v>
      </c>
      <c r="H23" s="1" t="str">
        <f t="shared" si="2"/>
        <v>Wednesday</v>
      </c>
      <c r="I23" s="102" t="str">
        <f t="shared" si="0"/>
        <v>Week 1</v>
      </c>
    </row>
    <row r="24" spans="2:9" ht="26.25" customHeight="1">
      <c r="B24" s="99">
        <v>46239</v>
      </c>
      <c r="C24" s="1" t="s">
        <v>38</v>
      </c>
      <c r="D24" s="2">
        <v>2</v>
      </c>
      <c r="E24" s="7">
        <v>35</v>
      </c>
      <c r="F24" s="7">
        <v>28</v>
      </c>
      <c r="G24" s="7">
        <f t="shared" si="1"/>
        <v>14</v>
      </c>
      <c r="H24" s="1" t="str">
        <f t="shared" si="2"/>
        <v>Wednesday</v>
      </c>
      <c r="I24" s="102" t="str">
        <f t="shared" si="0"/>
        <v>Week 1</v>
      </c>
    </row>
    <row r="25" spans="2:9" ht="26.25" customHeight="1">
      <c r="B25" s="99">
        <v>46239</v>
      </c>
      <c r="C25" s="1" t="s">
        <v>45</v>
      </c>
      <c r="D25" s="2">
        <v>6</v>
      </c>
      <c r="E25" s="7">
        <v>20</v>
      </c>
      <c r="F25" s="7">
        <v>16.5</v>
      </c>
      <c r="G25" s="7">
        <f t="shared" si="1"/>
        <v>21</v>
      </c>
      <c r="H25" s="1" t="str">
        <f t="shared" si="2"/>
        <v>Wednesday</v>
      </c>
      <c r="I25" s="102" t="str">
        <f t="shared" si="0"/>
        <v>Week 1</v>
      </c>
    </row>
    <row r="26" spans="2:9" ht="26.25" customHeight="1">
      <c r="B26" s="99">
        <v>46239</v>
      </c>
      <c r="C26" s="1" t="s">
        <v>46</v>
      </c>
      <c r="D26" s="2">
        <v>2</v>
      </c>
      <c r="E26" s="7">
        <v>50</v>
      </c>
      <c r="F26" s="7">
        <v>34</v>
      </c>
      <c r="G26" s="7">
        <f t="shared" si="1"/>
        <v>32</v>
      </c>
      <c r="H26" s="1" t="str">
        <f t="shared" si="2"/>
        <v>Wednesday</v>
      </c>
      <c r="I26" s="102" t="str">
        <f t="shared" si="0"/>
        <v>Week 1</v>
      </c>
    </row>
    <row r="27" spans="2:9" ht="26.25" customHeight="1">
      <c r="B27" s="99">
        <v>46240</v>
      </c>
      <c r="C27" s="1" t="s">
        <v>47</v>
      </c>
      <c r="D27" s="2">
        <v>2</v>
      </c>
      <c r="E27" s="7">
        <v>70</v>
      </c>
      <c r="F27" s="7">
        <v>46</v>
      </c>
      <c r="G27" s="7">
        <f t="shared" si="1"/>
        <v>48</v>
      </c>
      <c r="H27" s="1" t="str">
        <f t="shared" si="2"/>
        <v>Thursday</v>
      </c>
      <c r="I27" s="102" t="str">
        <f t="shared" si="0"/>
        <v>Week 1</v>
      </c>
    </row>
    <row r="28" spans="2:9" ht="26.25" customHeight="1">
      <c r="B28" s="99">
        <v>46240</v>
      </c>
      <c r="C28" s="1" t="s">
        <v>48</v>
      </c>
      <c r="D28" s="2">
        <v>2</v>
      </c>
      <c r="E28" s="7">
        <v>110</v>
      </c>
      <c r="F28" s="7">
        <v>63</v>
      </c>
      <c r="G28" s="7">
        <f t="shared" si="1"/>
        <v>94</v>
      </c>
      <c r="H28" s="1" t="str">
        <f t="shared" si="2"/>
        <v>Thursday</v>
      </c>
      <c r="I28" s="102" t="str">
        <f t="shared" si="0"/>
        <v>Week 1</v>
      </c>
    </row>
    <row r="29" spans="2:9" ht="26.25" customHeight="1">
      <c r="B29" s="99">
        <v>46240</v>
      </c>
      <c r="C29" s="1" t="s">
        <v>49</v>
      </c>
      <c r="D29" s="2">
        <v>2</v>
      </c>
      <c r="E29" s="7">
        <v>1900</v>
      </c>
      <c r="F29" s="7">
        <v>1772</v>
      </c>
      <c r="G29" s="7">
        <f t="shared" si="1"/>
        <v>256</v>
      </c>
      <c r="H29" s="1" t="str">
        <f t="shared" si="2"/>
        <v>Thursday</v>
      </c>
      <c r="I29" s="102" t="str">
        <f t="shared" si="0"/>
        <v>Week 1</v>
      </c>
    </row>
    <row r="30" spans="2:9" ht="26.25" customHeight="1">
      <c r="B30" s="99">
        <v>46240</v>
      </c>
      <c r="C30" s="1" t="s">
        <v>50</v>
      </c>
      <c r="D30" s="2">
        <v>2</v>
      </c>
      <c r="E30" s="7">
        <v>90</v>
      </c>
      <c r="F30" s="7">
        <v>71</v>
      </c>
      <c r="G30" s="7">
        <f t="shared" si="1"/>
        <v>38</v>
      </c>
      <c r="H30" s="1" t="str">
        <f t="shared" si="2"/>
        <v>Thursday</v>
      </c>
      <c r="I30" s="102" t="str">
        <f t="shared" si="0"/>
        <v>Week 1</v>
      </c>
    </row>
    <row r="31" spans="2:9" ht="26.25" customHeight="1">
      <c r="B31" s="99">
        <v>46240</v>
      </c>
      <c r="C31" s="1" t="s">
        <v>51</v>
      </c>
      <c r="D31" s="2">
        <v>4</v>
      </c>
      <c r="E31" s="7">
        <v>120</v>
      </c>
      <c r="F31" s="7">
        <v>96</v>
      </c>
      <c r="G31" s="7">
        <f t="shared" si="1"/>
        <v>96</v>
      </c>
      <c r="H31" s="1" t="str">
        <f t="shared" si="2"/>
        <v>Thursday</v>
      </c>
      <c r="I31" s="102" t="str">
        <f t="shared" si="0"/>
        <v>Week 1</v>
      </c>
    </row>
    <row r="32" spans="2:9" ht="26.25" customHeight="1">
      <c r="B32" s="99">
        <v>46240</v>
      </c>
      <c r="C32" s="1" t="s">
        <v>52</v>
      </c>
      <c r="D32" s="2">
        <v>2</v>
      </c>
      <c r="E32" s="7">
        <v>40</v>
      </c>
      <c r="F32" s="7">
        <v>27</v>
      </c>
      <c r="G32" s="7">
        <f t="shared" si="1"/>
        <v>26</v>
      </c>
      <c r="H32" s="1" t="str">
        <f t="shared" si="2"/>
        <v>Thursday</v>
      </c>
      <c r="I32" s="102" t="str">
        <f t="shared" si="0"/>
        <v>Week 1</v>
      </c>
    </row>
    <row r="33" spans="2:9" ht="26.25" customHeight="1">
      <c r="B33" s="99">
        <v>46241</v>
      </c>
      <c r="C33" s="1" t="s">
        <v>25</v>
      </c>
      <c r="D33" s="2">
        <v>8</v>
      </c>
      <c r="E33" s="7">
        <v>270</v>
      </c>
      <c r="F33" s="7">
        <v>253</v>
      </c>
      <c r="G33" s="7">
        <f t="shared" si="1"/>
        <v>136</v>
      </c>
      <c r="H33" s="1" t="str">
        <f t="shared" si="2"/>
        <v>Friday</v>
      </c>
      <c r="I33" s="102" t="str">
        <f t="shared" si="0"/>
        <v>Week 1</v>
      </c>
    </row>
    <row r="34" spans="2:9" ht="26.25" customHeight="1">
      <c r="B34" s="99">
        <v>46241</v>
      </c>
      <c r="C34" s="1" t="s">
        <v>53</v>
      </c>
      <c r="D34" s="2">
        <v>15</v>
      </c>
      <c r="E34" s="7">
        <v>30</v>
      </c>
      <c r="F34" s="7">
        <v>23.5</v>
      </c>
      <c r="G34" s="7">
        <f t="shared" si="1"/>
        <v>97.5</v>
      </c>
      <c r="H34" s="1" t="str">
        <f t="shared" si="2"/>
        <v>Friday</v>
      </c>
      <c r="I34" s="102" t="str">
        <f t="shared" si="0"/>
        <v>Week 1</v>
      </c>
    </row>
    <row r="35" spans="2:9" ht="26.25" customHeight="1">
      <c r="B35" s="99">
        <v>46241</v>
      </c>
      <c r="C35" s="1" t="s">
        <v>54</v>
      </c>
      <c r="D35" s="2">
        <v>8</v>
      </c>
      <c r="E35" s="7">
        <v>25</v>
      </c>
      <c r="F35" s="7">
        <v>22</v>
      </c>
      <c r="G35" s="7">
        <f t="shared" si="1"/>
        <v>24</v>
      </c>
      <c r="H35" s="1" t="str">
        <f t="shared" si="2"/>
        <v>Friday</v>
      </c>
      <c r="I35" s="102" t="str">
        <f t="shared" ref="I35:I58" si="3">"Week " &amp; (INT((B35 - DATE(2026,8,3)) / 7) + 1)</f>
        <v>Week 1</v>
      </c>
    </row>
    <row r="36" spans="2:9" ht="26.25" customHeight="1">
      <c r="B36" s="99">
        <v>46241</v>
      </c>
      <c r="C36" s="1" t="s">
        <v>55</v>
      </c>
      <c r="D36" s="2">
        <v>2</v>
      </c>
      <c r="E36" s="7">
        <v>160</v>
      </c>
      <c r="F36" s="7">
        <v>122</v>
      </c>
      <c r="G36" s="7">
        <f t="shared" si="1"/>
        <v>76</v>
      </c>
      <c r="H36" s="1" t="str">
        <f t="shared" si="2"/>
        <v>Friday</v>
      </c>
      <c r="I36" s="102" t="str">
        <f t="shared" si="3"/>
        <v>Week 1</v>
      </c>
    </row>
    <row r="37" spans="2:9" ht="26.25" customHeight="1">
      <c r="B37" s="99">
        <v>46241</v>
      </c>
      <c r="C37" s="1" t="s">
        <v>56</v>
      </c>
      <c r="D37" s="2">
        <v>20</v>
      </c>
      <c r="E37" s="7">
        <v>4</v>
      </c>
      <c r="F37" s="7">
        <v>1.6</v>
      </c>
      <c r="G37" s="7">
        <f t="shared" si="1"/>
        <v>48</v>
      </c>
      <c r="H37" s="1" t="str">
        <f t="shared" si="2"/>
        <v>Friday</v>
      </c>
      <c r="I37" s="102" t="str">
        <f t="shared" si="3"/>
        <v>Week 1</v>
      </c>
    </row>
    <row r="38" spans="2:9" ht="26.25" customHeight="1">
      <c r="B38" s="99">
        <v>46241</v>
      </c>
      <c r="C38" s="1" t="s">
        <v>57</v>
      </c>
      <c r="D38" s="2">
        <v>1</v>
      </c>
      <c r="E38" s="7">
        <v>1200</v>
      </c>
      <c r="F38" s="7">
        <v>980</v>
      </c>
      <c r="G38" s="7">
        <f t="shared" si="1"/>
        <v>220</v>
      </c>
      <c r="H38" s="1" t="str">
        <f t="shared" si="2"/>
        <v>Friday</v>
      </c>
      <c r="I38" s="102" t="str">
        <f t="shared" si="3"/>
        <v>Week 1</v>
      </c>
    </row>
    <row r="39" spans="2:9" ht="26.25" customHeight="1">
      <c r="B39" s="99">
        <v>46242</v>
      </c>
      <c r="C39" s="1" t="s">
        <v>58</v>
      </c>
      <c r="D39" s="2">
        <v>3</v>
      </c>
      <c r="E39" s="7">
        <v>50</v>
      </c>
      <c r="F39" s="7">
        <v>39.5</v>
      </c>
      <c r="G39" s="7">
        <f t="shared" si="1"/>
        <v>31.5</v>
      </c>
      <c r="H39" s="1" t="str">
        <f t="shared" si="2"/>
        <v>Saturday</v>
      </c>
      <c r="I39" s="102" t="str">
        <f t="shared" si="3"/>
        <v>Week 1</v>
      </c>
    </row>
    <row r="40" spans="2:9" ht="26.25" customHeight="1">
      <c r="B40" s="99">
        <v>46242</v>
      </c>
      <c r="C40" s="1" t="s">
        <v>59</v>
      </c>
      <c r="D40" s="2">
        <v>6</v>
      </c>
      <c r="E40" s="7">
        <v>10</v>
      </c>
      <c r="F40" s="7">
        <v>9.1</v>
      </c>
      <c r="G40" s="7">
        <f t="shared" si="1"/>
        <v>5.4000000000000021</v>
      </c>
      <c r="H40" s="1" t="str">
        <f t="shared" si="2"/>
        <v>Saturday</v>
      </c>
      <c r="I40" s="102" t="str">
        <f t="shared" si="3"/>
        <v>Week 1</v>
      </c>
    </row>
    <row r="41" spans="2:9" ht="26.25" customHeight="1">
      <c r="B41" s="99">
        <v>46242</v>
      </c>
      <c r="C41" s="1" t="s">
        <v>60</v>
      </c>
      <c r="D41" s="2">
        <v>2</v>
      </c>
      <c r="E41" s="7">
        <v>110</v>
      </c>
      <c r="F41" s="7">
        <v>73</v>
      </c>
      <c r="G41" s="7">
        <f t="shared" si="1"/>
        <v>74</v>
      </c>
      <c r="H41" s="1" t="str">
        <f t="shared" si="2"/>
        <v>Saturday</v>
      </c>
      <c r="I41" s="102" t="str">
        <f t="shared" si="3"/>
        <v>Week 1</v>
      </c>
    </row>
    <row r="42" spans="2:9" ht="26.25" customHeight="1">
      <c r="B42" s="99">
        <v>46242</v>
      </c>
      <c r="C42" s="1" t="s">
        <v>61</v>
      </c>
      <c r="D42" s="2">
        <v>3</v>
      </c>
      <c r="E42" s="7">
        <v>130</v>
      </c>
      <c r="F42" s="7">
        <v>112</v>
      </c>
      <c r="G42" s="7">
        <f t="shared" si="1"/>
        <v>54</v>
      </c>
      <c r="H42" s="1" t="str">
        <f t="shared" si="2"/>
        <v>Saturday</v>
      </c>
      <c r="I42" s="102" t="str">
        <f t="shared" si="3"/>
        <v>Week 1</v>
      </c>
    </row>
    <row r="43" spans="2:9" ht="26.25" customHeight="1">
      <c r="B43" s="99">
        <v>46242</v>
      </c>
      <c r="C43" s="1" t="s">
        <v>32</v>
      </c>
      <c r="D43" s="2">
        <v>5</v>
      </c>
      <c r="E43" s="7">
        <v>60</v>
      </c>
      <c r="F43" s="7">
        <v>51</v>
      </c>
      <c r="G43" s="7">
        <f t="shared" si="1"/>
        <v>45</v>
      </c>
      <c r="H43" s="1" t="str">
        <f t="shared" si="2"/>
        <v>Saturday</v>
      </c>
      <c r="I43" s="102" t="str">
        <f t="shared" si="3"/>
        <v>Week 1</v>
      </c>
    </row>
    <row r="44" spans="2:9" ht="26.25" customHeight="1">
      <c r="B44" s="99">
        <v>46242</v>
      </c>
      <c r="C44" s="1" t="s">
        <v>59</v>
      </c>
      <c r="D44" s="2">
        <v>15</v>
      </c>
      <c r="E44" s="7">
        <v>10</v>
      </c>
      <c r="F44" s="7">
        <v>9.1</v>
      </c>
      <c r="G44" s="7">
        <f t="shared" si="1"/>
        <v>13.500000000000005</v>
      </c>
      <c r="H44" s="1" t="str">
        <f t="shared" si="2"/>
        <v>Saturday</v>
      </c>
      <c r="I44" s="102" t="str">
        <f t="shared" si="3"/>
        <v>Week 1</v>
      </c>
    </row>
    <row r="45" spans="2:9" ht="26.25" customHeight="1">
      <c r="B45" s="99">
        <v>46242</v>
      </c>
      <c r="C45" s="1" t="s">
        <v>40</v>
      </c>
      <c r="D45" s="2">
        <v>2</v>
      </c>
      <c r="E45" s="7">
        <v>420</v>
      </c>
      <c r="F45" s="7">
        <v>370</v>
      </c>
      <c r="G45" s="7">
        <f t="shared" si="1"/>
        <v>100</v>
      </c>
      <c r="H45" s="1" t="str">
        <f t="shared" si="2"/>
        <v>Saturday</v>
      </c>
      <c r="I45" s="102" t="str">
        <f t="shared" si="3"/>
        <v>Week 1</v>
      </c>
    </row>
    <row r="46" spans="2:9" ht="26.25" customHeight="1">
      <c r="B46" s="99">
        <v>46242</v>
      </c>
      <c r="C46" s="1" t="s">
        <v>29</v>
      </c>
      <c r="D46" s="2">
        <v>6</v>
      </c>
      <c r="E46" s="7">
        <v>20</v>
      </c>
      <c r="F46" s="7">
        <v>14</v>
      </c>
      <c r="G46" s="7">
        <f t="shared" si="1"/>
        <v>36</v>
      </c>
      <c r="H46" s="1" t="str">
        <f t="shared" si="2"/>
        <v>Saturday</v>
      </c>
      <c r="I46" s="102" t="str">
        <f t="shared" si="3"/>
        <v>Week 1</v>
      </c>
    </row>
    <row r="47" spans="2:9" ht="26.25" customHeight="1">
      <c r="B47" s="99">
        <v>46242</v>
      </c>
      <c r="C47" s="1" t="s">
        <v>62</v>
      </c>
      <c r="D47" s="2">
        <v>1</v>
      </c>
      <c r="E47" s="7">
        <v>380</v>
      </c>
      <c r="F47" s="7">
        <v>340</v>
      </c>
      <c r="G47" s="7">
        <f t="shared" si="1"/>
        <v>40</v>
      </c>
      <c r="H47" s="1" t="str">
        <f t="shared" si="2"/>
        <v>Saturday</v>
      </c>
      <c r="I47" s="102" t="str">
        <f t="shared" si="3"/>
        <v>Week 1</v>
      </c>
    </row>
    <row r="48" spans="2:9" ht="26.25" customHeight="1">
      <c r="B48" s="99">
        <v>46243</v>
      </c>
      <c r="C48" s="1" t="s">
        <v>28</v>
      </c>
      <c r="D48" s="2">
        <v>2</v>
      </c>
      <c r="E48" s="7">
        <v>1300</v>
      </c>
      <c r="F48" s="7">
        <v>1125</v>
      </c>
      <c r="G48" s="7">
        <f t="shared" si="1"/>
        <v>350</v>
      </c>
      <c r="H48" s="1" t="str">
        <f t="shared" si="2"/>
        <v>Sunday</v>
      </c>
      <c r="I48" s="102" t="str">
        <f t="shared" si="3"/>
        <v>Week 1</v>
      </c>
    </row>
    <row r="49" spans="2:9" ht="26.25" customHeight="1">
      <c r="B49" s="99">
        <v>46243</v>
      </c>
      <c r="C49" s="1" t="s">
        <v>33</v>
      </c>
      <c r="D49" s="1">
        <v>1</v>
      </c>
      <c r="E49" s="7">
        <v>60</v>
      </c>
      <c r="F49" s="7">
        <v>57</v>
      </c>
      <c r="G49" s="7">
        <f t="shared" si="1"/>
        <v>3</v>
      </c>
      <c r="H49" s="1" t="str">
        <f t="shared" si="2"/>
        <v>Sunday</v>
      </c>
      <c r="I49" s="102" t="str">
        <f t="shared" si="3"/>
        <v>Week 1</v>
      </c>
    </row>
    <row r="50" spans="2:9" ht="26.25" customHeight="1">
      <c r="B50" s="99">
        <v>46243</v>
      </c>
      <c r="C50" s="1" t="s">
        <v>63</v>
      </c>
      <c r="D50" s="1">
        <v>1</v>
      </c>
      <c r="E50" s="7">
        <v>60</v>
      </c>
      <c r="F50" s="7">
        <v>40</v>
      </c>
      <c r="G50" s="7">
        <f t="shared" si="1"/>
        <v>20</v>
      </c>
      <c r="H50" s="1" t="str">
        <f t="shared" si="2"/>
        <v>Sunday</v>
      </c>
      <c r="I50" s="102" t="str">
        <f t="shared" si="3"/>
        <v>Week 1</v>
      </c>
    </row>
    <row r="51" spans="2:9" ht="26.25" customHeight="1">
      <c r="B51" s="99">
        <v>46243</v>
      </c>
      <c r="C51" s="1" t="s">
        <v>64</v>
      </c>
      <c r="D51" s="1">
        <v>1</v>
      </c>
      <c r="E51" s="7">
        <v>120</v>
      </c>
      <c r="F51" s="7">
        <v>77</v>
      </c>
      <c r="G51" s="7">
        <f t="shared" si="1"/>
        <v>43</v>
      </c>
      <c r="H51" s="1" t="str">
        <f t="shared" si="2"/>
        <v>Sunday</v>
      </c>
      <c r="I51" s="102" t="str">
        <f t="shared" si="3"/>
        <v>Week 1</v>
      </c>
    </row>
    <row r="52" spans="2:9" ht="26.25" customHeight="1">
      <c r="B52" s="99">
        <v>46243</v>
      </c>
      <c r="C52" s="94" t="s">
        <v>65</v>
      </c>
      <c r="D52" s="1">
        <v>1</v>
      </c>
      <c r="E52" s="7">
        <v>150</v>
      </c>
      <c r="F52" s="7">
        <v>114</v>
      </c>
      <c r="G52" s="7">
        <f t="shared" si="1"/>
        <v>36</v>
      </c>
      <c r="H52" s="1" t="str">
        <f t="shared" si="2"/>
        <v>Sunday</v>
      </c>
      <c r="I52" s="102" t="str">
        <f t="shared" si="3"/>
        <v>Week 1</v>
      </c>
    </row>
    <row r="53" spans="2:9" ht="26.25" customHeight="1">
      <c r="B53" s="99">
        <v>46243</v>
      </c>
      <c r="C53" s="1" t="s">
        <v>66</v>
      </c>
      <c r="D53" s="1">
        <v>1</v>
      </c>
      <c r="E53" s="7">
        <v>550</v>
      </c>
      <c r="F53" s="7">
        <v>480</v>
      </c>
      <c r="G53" s="7">
        <f t="shared" si="1"/>
        <v>70</v>
      </c>
      <c r="H53" s="1" t="str">
        <f t="shared" si="2"/>
        <v>Sunday</v>
      </c>
      <c r="I53" s="102" t="str">
        <f t="shared" si="3"/>
        <v>Week 1</v>
      </c>
    </row>
    <row r="54" spans="2:9" ht="26.25" customHeight="1">
      <c r="B54" s="99">
        <v>46243</v>
      </c>
      <c r="C54" s="1" t="s">
        <v>67</v>
      </c>
      <c r="D54" s="1">
        <v>2</v>
      </c>
      <c r="E54" s="7">
        <v>36</v>
      </c>
      <c r="F54" s="7">
        <v>27</v>
      </c>
      <c r="G54" s="7">
        <f t="shared" si="1"/>
        <v>18</v>
      </c>
      <c r="H54" s="1" t="str">
        <f t="shared" si="2"/>
        <v>Sunday</v>
      </c>
      <c r="I54" s="102" t="str">
        <f t="shared" si="3"/>
        <v>Week 1</v>
      </c>
    </row>
    <row r="55" spans="2:9" ht="26.25" customHeight="1">
      <c r="B55" s="99">
        <v>46243</v>
      </c>
      <c r="C55" s="1" t="s">
        <v>68</v>
      </c>
      <c r="D55" s="1">
        <v>4</v>
      </c>
      <c r="E55" s="7">
        <v>5</v>
      </c>
      <c r="F55" s="7">
        <v>2.2999999999999998</v>
      </c>
      <c r="G55" s="7">
        <f t="shared" si="1"/>
        <v>10.8</v>
      </c>
      <c r="H55" s="1" t="str">
        <f t="shared" si="2"/>
        <v>Sunday</v>
      </c>
      <c r="I55" s="102" t="str">
        <f t="shared" si="3"/>
        <v>Week 1</v>
      </c>
    </row>
    <row r="56" spans="2:9" ht="26.25" customHeight="1">
      <c r="B56" s="99">
        <v>46243</v>
      </c>
      <c r="C56" s="1" t="s">
        <v>69</v>
      </c>
      <c r="D56" s="1">
        <v>3</v>
      </c>
      <c r="E56" s="7">
        <v>20</v>
      </c>
      <c r="F56" s="7">
        <v>15.5</v>
      </c>
      <c r="G56" s="7">
        <f t="shared" si="1"/>
        <v>13.5</v>
      </c>
      <c r="H56" s="1" t="str">
        <f t="shared" si="2"/>
        <v>Sunday</v>
      </c>
      <c r="I56" s="102" t="str">
        <f t="shared" si="3"/>
        <v>Week 1</v>
      </c>
    </row>
    <row r="57" spans="2:9" ht="26.25" customHeight="1">
      <c r="B57" s="99">
        <v>46244</v>
      </c>
      <c r="C57" s="1" t="s">
        <v>70</v>
      </c>
      <c r="D57" s="1">
        <v>1</v>
      </c>
      <c r="E57" s="7">
        <v>350</v>
      </c>
      <c r="F57" s="7">
        <v>280</v>
      </c>
      <c r="G57" s="7">
        <f t="shared" ref="G57:G58" si="4">(E57-F57)*D57</f>
        <v>70</v>
      </c>
      <c r="H57" s="1" t="str">
        <f t="shared" ref="H57:H58" si="5">TEXT(B57,"dddd")</f>
        <v>Monday</v>
      </c>
      <c r="I57" s="102" t="str">
        <f t="shared" si="3"/>
        <v>Week 2</v>
      </c>
    </row>
    <row r="58" spans="2:9" ht="26.25" customHeight="1">
      <c r="B58" s="99">
        <v>46244</v>
      </c>
      <c r="C58" s="1" t="s">
        <v>71</v>
      </c>
      <c r="D58" s="1">
        <v>2</v>
      </c>
      <c r="E58" s="7">
        <v>75</v>
      </c>
      <c r="F58" s="7">
        <v>63.5</v>
      </c>
      <c r="G58" s="7">
        <f t="shared" si="4"/>
        <v>23</v>
      </c>
      <c r="H58" s="1" t="str">
        <f t="shared" si="5"/>
        <v>Monday</v>
      </c>
      <c r="I58" s="102" t="str">
        <f t="shared" si="3"/>
        <v>Week 2</v>
      </c>
    </row>
    <row r="59" spans="2:9" ht="26.25" customHeight="1">
      <c r="B59" s="99">
        <v>46244</v>
      </c>
      <c r="C59" s="7" t="s">
        <v>72</v>
      </c>
      <c r="D59" s="8">
        <v>1</v>
      </c>
      <c r="E59" s="7">
        <v>40</v>
      </c>
      <c r="F59" s="7">
        <v>31</v>
      </c>
      <c r="G59" s="7">
        <f>(E59-F59)*D59</f>
        <v>9</v>
      </c>
      <c r="H59" s="7" t="str">
        <f>TEXT(B59,"dddd")</f>
        <v>Monday</v>
      </c>
      <c r="I59" s="102" t="str">
        <f>"Week " &amp; (INT((B59 - DATE(2026,8,3)) / 7) + 1)</f>
        <v>Week 2</v>
      </c>
    </row>
    <row r="60" spans="2:9" ht="26.25" customHeight="1">
      <c r="B60" s="99">
        <v>46244</v>
      </c>
      <c r="C60" s="7" t="s">
        <v>73</v>
      </c>
      <c r="D60" s="8">
        <v>1</v>
      </c>
      <c r="E60" s="7">
        <v>260</v>
      </c>
      <c r="F60" s="7">
        <v>224</v>
      </c>
      <c r="G60" s="7">
        <f>(E60-F60)*D60</f>
        <v>36</v>
      </c>
      <c r="H60" s="7" t="str">
        <f>TEXT(B60,"dddd")</f>
        <v>Monday</v>
      </c>
      <c r="I60" s="102" t="str">
        <f>"Week " &amp; (INT((B60 - DATE(2026,8,3)) / 7) + 1)</f>
        <v>Week 2</v>
      </c>
    </row>
    <row r="61" spans="2:9" ht="26.25" customHeight="1">
      <c r="B61" s="99">
        <v>46244</v>
      </c>
      <c r="C61" s="7" t="s">
        <v>74</v>
      </c>
      <c r="D61" s="8">
        <v>6</v>
      </c>
      <c r="E61" s="7">
        <v>5</v>
      </c>
      <c r="F61" s="7">
        <v>2.2999999999999998</v>
      </c>
      <c r="G61" s="7">
        <f t="shared" ref="G61:G101" si="6">(E61-F61)*D61</f>
        <v>16.200000000000003</v>
      </c>
      <c r="H61" s="7" t="str">
        <f t="shared" ref="H61:H101" si="7">TEXT(B61,"dddd")</f>
        <v>Monday</v>
      </c>
      <c r="I61" s="102" t="str">
        <f t="shared" ref="I61:I101" si="8">"Week " &amp; (INT((B61 - DATE(2026,8,3)) / 7) + 1)</f>
        <v>Week 2</v>
      </c>
    </row>
    <row r="62" spans="2:9" ht="26.25" customHeight="1">
      <c r="B62" s="99">
        <v>46244</v>
      </c>
      <c r="C62" s="7" t="s">
        <v>36</v>
      </c>
      <c r="D62" s="8">
        <v>3</v>
      </c>
      <c r="E62" s="7">
        <v>100</v>
      </c>
      <c r="F62" s="7">
        <v>89</v>
      </c>
      <c r="G62" s="7">
        <f t="shared" si="6"/>
        <v>33</v>
      </c>
      <c r="H62" s="7" t="str">
        <f t="shared" si="7"/>
        <v>Monday</v>
      </c>
      <c r="I62" s="102" t="str">
        <f t="shared" si="8"/>
        <v>Week 2</v>
      </c>
    </row>
    <row r="63" spans="2:9" ht="26.25" customHeight="1">
      <c r="B63" s="99">
        <v>46244</v>
      </c>
      <c r="C63" s="7" t="s">
        <v>34</v>
      </c>
      <c r="D63" s="8">
        <v>2</v>
      </c>
      <c r="E63" s="7">
        <v>540</v>
      </c>
      <c r="F63" s="7">
        <v>493</v>
      </c>
      <c r="G63" s="7">
        <f t="shared" si="6"/>
        <v>94</v>
      </c>
      <c r="H63" s="7" t="str">
        <f t="shared" si="7"/>
        <v>Monday</v>
      </c>
      <c r="I63" s="102" t="str">
        <f t="shared" si="8"/>
        <v>Week 2</v>
      </c>
    </row>
    <row r="64" spans="2:9" ht="26.25" customHeight="1">
      <c r="B64" s="99">
        <v>46244</v>
      </c>
      <c r="C64" s="7" t="s">
        <v>37</v>
      </c>
      <c r="D64" s="8">
        <v>1</v>
      </c>
      <c r="E64" s="7">
        <v>180</v>
      </c>
      <c r="F64" s="7">
        <v>154</v>
      </c>
      <c r="G64" s="7">
        <f t="shared" si="6"/>
        <v>26</v>
      </c>
      <c r="H64" s="7" t="str">
        <f t="shared" si="7"/>
        <v>Monday</v>
      </c>
      <c r="I64" s="102" t="str">
        <f t="shared" si="8"/>
        <v>Week 2</v>
      </c>
    </row>
    <row r="65" spans="2:9" ht="26.25" customHeight="1">
      <c r="B65" s="99">
        <v>46244</v>
      </c>
      <c r="C65" s="7" t="s">
        <v>75</v>
      </c>
      <c r="D65" s="8">
        <v>1</v>
      </c>
      <c r="E65" s="7">
        <v>60</v>
      </c>
      <c r="F65" s="7">
        <v>41</v>
      </c>
      <c r="G65" s="7">
        <f t="shared" si="6"/>
        <v>19</v>
      </c>
      <c r="H65" s="7" t="str">
        <f t="shared" si="7"/>
        <v>Monday</v>
      </c>
      <c r="I65" s="102" t="str">
        <f t="shared" si="8"/>
        <v>Week 2</v>
      </c>
    </row>
    <row r="66" spans="2:9" ht="26.25" customHeight="1">
      <c r="B66" s="99">
        <v>46245</v>
      </c>
      <c r="C66" s="7" t="s">
        <v>25</v>
      </c>
      <c r="D66" s="8">
        <v>2</v>
      </c>
      <c r="E66" s="7">
        <v>275</v>
      </c>
      <c r="F66" s="7">
        <v>255</v>
      </c>
      <c r="G66" s="7">
        <f t="shared" si="6"/>
        <v>40</v>
      </c>
      <c r="H66" s="7" t="str">
        <f t="shared" si="7"/>
        <v>Tuesday</v>
      </c>
      <c r="I66" s="102" t="str">
        <f t="shared" si="8"/>
        <v>Week 2</v>
      </c>
    </row>
    <row r="67" spans="2:9" ht="26.25" customHeight="1">
      <c r="B67" s="99">
        <v>46245</v>
      </c>
      <c r="C67" s="7" t="s">
        <v>53</v>
      </c>
      <c r="D67" s="8">
        <v>6</v>
      </c>
      <c r="E67" s="7">
        <v>30</v>
      </c>
      <c r="F67" s="7">
        <v>23.5</v>
      </c>
      <c r="G67" s="7">
        <f t="shared" si="6"/>
        <v>39</v>
      </c>
      <c r="H67" s="7" t="str">
        <f t="shared" si="7"/>
        <v>Tuesday</v>
      </c>
      <c r="I67" s="102" t="str">
        <f t="shared" si="8"/>
        <v>Week 2</v>
      </c>
    </row>
    <row r="68" spans="2:9" ht="26.25" customHeight="1">
      <c r="B68" s="99">
        <v>46245</v>
      </c>
      <c r="C68" s="7" t="s">
        <v>54</v>
      </c>
      <c r="D68" s="8">
        <v>4</v>
      </c>
      <c r="E68" s="7">
        <v>25</v>
      </c>
      <c r="F68" s="7">
        <v>22</v>
      </c>
      <c r="G68" s="7">
        <f t="shared" si="6"/>
        <v>12</v>
      </c>
      <c r="H68" s="7" t="str">
        <f t="shared" si="7"/>
        <v>Tuesday</v>
      </c>
      <c r="I68" s="102" t="str">
        <f t="shared" si="8"/>
        <v>Week 2</v>
      </c>
    </row>
    <row r="69" spans="2:9" ht="26.25" customHeight="1">
      <c r="B69" s="99">
        <v>46245</v>
      </c>
      <c r="C69" s="7" t="s">
        <v>27</v>
      </c>
      <c r="D69" s="8">
        <v>2</v>
      </c>
      <c r="E69" s="7">
        <v>240</v>
      </c>
      <c r="F69" s="7">
        <v>197</v>
      </c>
      <c r="G69" s="7">
        <f t="shared" si="6"/>
        <v>86</v>
      </c>
      <c r="H69" s="7" t="str">
        <f t="shared" si="7"/>
        <v>Tuesday</v>
      </c>
      <c r="I69" s="102" t="str">
        <f t="shared" si="8"/>
        <v>Week 2</v>
      </c>
    </row>
    <row r="70" spans="2:9" ht="26.25" customHeight="1">
      <c r="B70" s="99">
        <v>46245</v>
      </c>
      <c r="C70" s="7" t="s">
        <v>76</v>
      </c>
      <c r="D70" s="8">
        <v>2</v>
      </c>
      <c r="E70" s="7">
        <v>170</v>
      </c>
      <c r="F70" s="7">
        <v>152.6</v>
      </c>
      <c r="G70" s="7">
        <f t="shared" si="6"/>
        <v>34.800000000000011</v>
      </c>
      <c r="H70" s="7" t="str">
        <f t="shared" si="7"/>
        <v>Tuesday</v>
      </c>
      <c r="I70" s="102" t="str">
        <f t="shared" si="8"/>
        <v>Week 2</v>
      </c>
    </row>
    <row r="71" spans="2:9" ht="26.25" customHeight="1">
      <c r="B71" s="99">
        <v>46245</v>
      </c>
      <c r="C71" s="7" t="s">
        <v>77</v>
      </c>
      <c r="D71" s="8">
        <v>8</v>
      </c>
      <c r="E71" s="7">
        <v>15</v>
      </c>
      <c r="F71" s="7">
        <v>12.5</v>
      </c>
      <c r="G71" s="7">
        <f t="shared" si="6"/>
        <v>20</v>
      </c>
      <c r="H71" s="7" t="str">
        <f t="shared" si="7"/>
        <v>Tuesday</v>
      </c>
      <c r="I71" s="102" t="str">
        <f t="shared" si="8"/>
        <v>Week 2</v>
      </c>
    </row>
    <row r="72" spans="2:9" ht="26.25" customHeight="1">
      <c r="B72" s="99">
        <v>46245</v>
      </c>
      <c r="C72" s="7" t="s">
        <v>78</v>
      </c>
      <c r="D72" s="8">
        <v>2</v>
      </c>
      <c r="E72" s="7">
        <v>60</v>
      </c>
      <c r="F72" s="7">
        <v>50</v>
      </c>
      <c r="G72" s="7">
        <f t="shared" si="6"/>
        <v>20</v>
      </c>
      <c r="H72" s="7" t="str">
        <f t="shared" si="7"/>
        <v>Tuesday</v>
      </c>
      <c r="I72" s="102" t="str">
        <f t="shared" si="8"/>
        <v>Week 2</v>
      </c>
    </row>
    <row r="73" spans="2:9" ht="26.25" customHeight="1">
      <c r="B73" s="99">
        <v>46245</v>
      </c>
      <c r="C73" s="7" t="s">
        <v>79</v>
      </c>
      <c r="D73" s="8">
        <v>1</v>
      </c>
      <c r="E73" s="7">
        <v>220</v>
      </c>
      <c r="F73" s="7">
        <v>180</v>
      </c>
      <c r="G73" s="7">
        <f t="shared" si="6"/>
        <v>40</v>
      </c>
      <c r="H73" s="7" t="str">
        <f t="shared" si="7"/>
        <v>Tuesday</v>
      </c>
      <c r="I73" s="102" t="str">
        <f t="shared" si="8"/>
        <v>Week 2</v>
      </c>
    </row>
    <row r="74" spans="2:9" ht="26.25" customHeight="1">
      <c r="B74" s="99">
        <v>46245</v>
      </c>
      <c r="C74" s="7" t="s">
        <v>80</v>
      </c>
      <c r="D74" s="8">
        <v>15</v>
      </c>
      <c r="E74" s="7">
        <v>4</v>
      </c>
      <c r="F74" s="7">
        <v>1.6</v>
      </c>
      <c r="G74" s="7">
        <f t="shared" si="6"/>
        <v>36</v>
      </c>
      <c r="H74" s="7" t="str">
        <f t="shared" si="7"/>
        <v>Tuesday</v>
      </c>
      <c r="I74" s="102" t="str">
        <f t="shared" si="8"/>
        <v>Week 2</v>
      </c>
    </row>
    <row r="75" spans="2:9" ht="26.25" customHeight="1">
      <c r="B75" s="99">
        <v>46246</v>
      </c>
      <c r="C75" s="7" t="s">
        <v>81</v>
      </c>
      <c r="D75" s="8">
        <v>3</v>
      </c>
      <c r="E75" s="7">
        <v>320</v>
      </c>
      <c r="F75" s="7">
        <v>295</v>
      </c>
      <c r="G75" s="7">
        <f t="shared" si="6"/>
        <v>75</v>
      </c>
      <c r="H75" s="7" t="str">
        <f t="shared" si="7"/>
        <v>Wednesday</v>
      </c>
      <c r="I75" s="102" t="str">
        <f t="shared" si="8"/>
        <v>Week 2</v>
      </c>
    </row>
    <row r="76" spans="2:9" ht="26.25" customHeight="1">
      <c r="B76" s="99">
        <v>46246</v>
      </c>
      <c r="C76" s="7" t="s">
        <v>82</v>
      </c>
      <c r="D76" s="8">
        <v>1</v>
      </c>
      <c r="E76" s="7">
        <v>400</v>
      </c>
      <c r="F76" s="7">
        <v>330</v>
      </c>
      <c r="G76" s="7">
        <f t="shared" si="6"/>
        <v>70</v>
      </c>
      <c r="H76" s="7" t="str">
        <f t="shared" si="7"/>
        <v>Wednesday</v>
      </c>
      <c r="I76" s="102" t="str">
        <f t="shared" si="8"/>
        <v>Week 2</v>
      </c>
    </row>
    <row r="77" spans="2:9" ht="26.25" customHeight="1">
      <c r="B77" s="99">
        <v>46246</v>
      </c>
      <c r="C77" s="7" t="s">
        <v>83</v>
      </c>
      <c r="D77" s="8">
        <v>3</v>
      </c>
      <c r="E77" s="7">
        <v>800</v>
      </c>
      <c r="F77" s="7">
        <v>710</v>
      </c>
      <c r="G77" s="7">
        <f t="shared" si="6"/>
        <v>270</v>
      </c>
      <c r="H77" s="7" t="str">
        <f t="shared" si="7"/>
        <v>Wednesday</v>
      </c>
      <c r="I77" s="102" t="str">
        <f t="shared" si="8"/>
        <v>Week 2</v>
      </c>
    </row>
    <row r="78" spans="2:9" ht="26.25" customHeight="1">
      <c r="B78" s="99">
        <v>46246</v>
      </c>
      <c r="C78" s="7" t="s">
        <v>84</v>
      </c>
      <c r="D78" s="8">
        <v>12</v>
      </c>
      <c r="E78" s="7">
        <v>10</v>
      </c>
      <c r="F78" s="7">
        <v>9.1</v>
      </c>
      <c r="G78" s="7">
        <f t="shared" si="6"/>
        <v>10.800000000000004</v>
      </c>
      <c r="H78" s="7" t="str">
        <f t="shared" si="7"/>
        <v>Wednesday</v>
      </c>
      <c r="I78" s="102" t="str">
        <f t="shared" si="8"/>
        <v>Week 2</v>
      </c>
    </row>
    <row r="79" spans="2:9" ht="26.25" customHeight="1">
      <c r="B79" s="99">
        <v>46246</v>
      </c>
      <c r="C79" s="7" t="s">
        <v>85</v>
      </c>
      <c r="D79" s="8">
        <v>10</v>
      </c>
      <c r="E79" s="7">
        <v>10</v>
      </c>
      <c r="F79" s="7">
        <v>7</v>
      </c>
      <c r="G79" s="7">
        <f t="shared" si="6"/>
        <v>30</v>
      </c>
      <c r="H79" s="7" t="str">
        <f t="shared" si="7"/>
        <v>Wednesday</v>
      </c>
      <c r="I79" s="102" t="str">
        <f t="shared" si="8"/>
        <v>Week 2</v>
      </c>
    </row>
    <row r="80" spans="2:9" ht="26.25" customHeight="1">
      <c r="B80" s="99">
        <v>46246</v>
      </c>
      <c r="C80" s="7" t="s">
        <v>86</v>
      </c>
      <c r="D80" s="8">
        <v>2</v>
      </c>
      <c r="E80" s="7">
        <v>140</v>
      </c>
      <c r="F80" s="7">
        <v>105</v>
      </c>
      <c r="G80" s="7">
        <f t="shared" si="6"/>
        <v>70</v>
      </c>
      <c r="H80" s="7" t="str">
        <f t="shared" si="7"/>
        <v>Wednesday</v>
      </c>
      <c r="I80" s="102" t="str">
        <f t="shared" si="8"/>
        <v>Week 2</v>
      </c>
    </row>
    <row r="81" spans="2:9" ht="26.25" customHeight="1">
      <c r="B81" s="99">
        <v>46246</v>
      </c>
      <c r="C81" s="7" t="s">
        <v>87</v>
      </c>
      <c r="D81" s="8">
        <v>2</v>
      </c>
      <c r="E81" s="7">
        <v>260</v>
      </c>
      <c r="F81" s="7">
        <v>219</v>
      </c>
      <c r="G81" s="7">
        <f t="shared" si="6"/>
        <v>82</v>
      </c>
      <c r="H81" s="7" t="str">
        <f t="shared" si="7"/>
        <v>Wednesday</v>
      </c>
      <c r="I81" s="102" t="str">
        <f t="shared" si="8"/>
        <v>Week 2</v>
      </c>
    </row>
    <row r="82" spans="2:9" ht="26.25" customHeight="1">
      <c r="B82" s="99">
        <v>46247</v>
      </c>
      <c r="C82" s="7" t="s">
        <v>76</v>
      </c>
      <c r="D82" s="8">
        <v>8</v>
      </c>
      <c r="E82" s="7">
        <v>168</v>
      </c>
      <c r="F82" s="7">
        <v>152.6</v>
      </c>
      <c r="G82" s="7">
        <f t="shared" si="6"/>
        <v>123.20000000000005</v>
      </c>
      <c r="H82" s="7" t="str">
        <f t="shared" si="7"/>
        <v>Thursday</v>
      </c>
      <c r="I82" s="102" t="str">
        <f t="shared" si="8"/>
        <v>Week 2</v>
      </c>
    </row>
    <row r="83" spans="2:9" ht="26.25" customHeight="1">
      <c r="B83" s="99">
        <v>46247</v>
      </c>
      <c r="C83" s="7" t="s">
        <v>77</v>
      </c>
      <c r="D83" s="8">
        <v>15</v>
      </c>
      <c r="E83" s="7">
        <v>14.5</v>
      </c>
      <c r="F83" s="7">
        <v>12.5</v>
      </c>
      <c r="G83" s="7">
        <f t="shared" si="6"/>
        <v>30</v>
      </c>
      <c r="H83" s="7" t="str">
        <f t="shared" si="7"/>
        <v>Thursday</v>
      </c>
      <c r="I83" s="102" t="str">
        <f t="shared" si="8"/>
        <v>Week 2</v>
      </c>
    </row>
    <row r="84" spans="2:9" ht="26.25" customHeight="1">
      <c r="B84" s="99">
        <v>46247</v>
      </c>
      <c r="C84" s="7" t="s">
        <v>88</v>
      </c>
      <c r="D84" s="8">
        <v>4</v>
      </c>
      <c r="E84" s="7">
        <v>60</v>
      </c>
      <c r="F84" s="7">
        <v>52</v>
      </c>
      <c r="G84" s="7">
        <f t="shared" si="6"/>
        <v>32</v>
      </c>
      <c r="H84" s="7" t="str">
        <f t="shared" si="7"/>
        <v>Thursday</v>
      </c>
      <c r="I84" s="102" t="str">
        <f t="shared" si="8"/>
        <v>Week 2</v>
      </c>
    </row>
    <row r="85" spans="2:9" ht="26.25" customHeight="1">
      <c r="B85" s="99">
        <v>46247</v>
      </c>
      <c r="C85" s="7" t="s">
        <v>89</v>
      </c>
      <c r="D85" s="8">
        <v>2</v>
      </c>
      <c r="E85" s="7">
        <v>20</v>
      </c>
      <c r="F85" s="7">
        <v>13</v>
      </c>
      <c r="G85" s="7">
        <f t="shared" si="6"/>
        <v>14</v>
      </c>
      <c r="H85" s="7" t="str">
        <f t="shared" si="7"/>
        <v>Thursday</v>
      </c>
      <c r="I85" s="102" t="str">
        <f t="shared" si="8"/>
        <v>Week 2</v>
      </c>
    </row>
    <row r="86" spans="2:9" ht="26.25" customHeight="1">
      <c r="B86" s="99">
        <v>46247</v>
      </c>
      <c r="C86" s="7" t="s">
        <v>90</v>
      </c>
      <c r="D86" s="8">
        <v>2</v>
      </c>
      <c r="E86" s="7">
        <v>40</v>
      </c>
      <c r="F86" s="7">
        <v>31.5</v>
      </c>
      <c r="G86" s="7">
        <f t="shared" si="6"/>
        <v>17</v>
      </c>
      <c r="H86" s="7" t="str">
        <f t="shared" si="7"/>
        <v>Thursday</v>
      </c>
      <c r="I86" s="102" t="str">
        <f t="shared" si="8"/>
        <v>Week 2</v>
      </c>
    </row>
    <row r="87" spans="2:9" ht="26.25" customHeight="1">
      <c r="B87" s="99">
        <v>46247</v>
      </c>
      <c r="C87" s="7" t="s">
        <v>91</v>
      </c>
      <c r="D87" s="8">
        <v>2</v>
      </c>
      <c r="E87" s="7">
        <v>90</v>
      </c>
      <c r="F87" s="7">
        <v>75</v>
      </c>
      <c r="G87" s="7">
        <f t="shared" si="6"/>
        <v>30</v>
      </c>
      <c r="H87" s="7" t="str">
        <f t="shared" si="7"/>
        <v>Thursday</v>
      </c>
      <c r="I87" s="102" t="str">
        <f t="shared" si="8"/>
        <v>Week 2</v>
      </c>
    </row>
    <row r="88" spans="2:9" ht="26.25" customHeight="1">
      <c r="B88" s="99">
        <v>46247</v>
      </c>
      <c r="C88" s="7" t="s">
        <v>92</v>
      </c>
      <c r="D88" s="8">
        <v>1</v>
      </c>
      <c r="E88" s="7">
        <v>110</v>
      </c>
      <c r="F88" s="7">
        <v>92</v>
      </c>
      <c r="G88" s="7">
        <f t="shared" si="6"/>
        <v>18</v>
      </c>
      <c r="H88" s="7" t="str">
        <f t="shared" si="7"/>
        <v>Thursday</v>
      </c>
      <c r="I88" s="102" t="str">
        <f t="shared" si="8"/>
        <v>Week 2</v>
      </c>
    </row>
    <row r="89" spans="2:9" ht="26.25" customHeight="1">
      <c r="B89" s="99">
        <v>46247</v>
      </c>
      <c r="C89" s="7" t="s">
        <v>27</v>
      </c>
      <c r="D89" s="8">
        <v>1</v>
      </c>
      <c r="E89" s="7">
        <v>235</v>
      </c>
      <c r="F89" s="7">
        <v>197</v>
      </c>
      <c r="G89" s="7">
        <f t="shared" si="6"/>
        <v>38</v>
      </c>
      <c r="H89" s="7" t="str">
        <f t="shared" si="7"/>
        <v>Thursday</v>
      </c>
      <c r="I89" s="102" t="str">
        <f t="shared" si="8"/>
        <v>Week 2</v>
      </c>
    </row>
    <row r="90" spans="2:9" ht="26.25" customHeight="1">
      <c r="B90" s="99">
        <v>46247</v>
      </c>
      <c r="C90" s="7" t="s">
        <v>79</v>
      </c>
      <c r="D90" s="8">
        <v>1</v>
      </c>
      <c r="E90" s="7">
        <v>220</v>
      </c>
      <c r="F90" s="7">
        <v>180</v>
      </c>
      <c r="G90" s="7">
        <f t="shared" si="6"/>
        <v>40</v>
      </c>
      <c r="H90" s="7" t="str">
        <f t="shared" si="7"/>
        <v>Thursday</v>
      </c>
      <c r="I90" s="102" t="str">
        <f t="shared" si="8"/>
        <v>Week 2</v>
      </c>
    </row>
    <row r="91" spans="2:9" ht="26.25" customHeight="1">
      <c r="B91" s="99">
        <v>46247</v>
      </c>
      <c r="C91" s="7" t="s">
        <v>85</v>
      </c>
      <c r="D91" s="8">
        <v>10</v>
      </c>
      <c r="E91" s="7">
        <v>10</v>
      </c>
      <c r="F91" s="7">
        <v>7</v>
      </c>
      <c r="G91" s="7">
        <f t="shared" si="6"/>
        <v>30</v>
      </c>
      <c r="H91" s="7" t="str">
        <f t="shared" si="7"/>
        <v>Thursday</v>
      </c>
      <c r="I91" s="102" t="str">
        <f t="shared" si="8"/>
        <v>Week 2</v>
      </c>
    </row>
    <row r="92" spans="2:9" ht="26.25" customHeight="1">
      <c r="B92" s="99">
        <v>46247</v>
      </c>
      <c r="C92" s="7" t="s">
        <v>84</v>
      </c>
      <c r="D92" s="8">
        <v>4</v>
      </c>
      <c r="E92" s="7">
        <v>10</v>
      </c>
      <c r="F92" s="7">
        <v>9.1999999999999993</v>
      </c>
      <c r="G92" s="7">
        <f t="shared" si="6"/>
        <v>3.2000000000000028</v>
      </c>
      <c r="H92" s="7" t="str">
        <f t="shared" si="7"/>
        <v>Thursday</v>
      </c>
      <c r="I92" s="102" t="str">
        <f t="shared" si="8"/>
        <v>Week 2</v>
      </c>
    </row>
    <row r="93" spans="2:9" ht="26.25" customHeight="1">
      <c r="B93" s="99">
        <v>46247</v>
      </c>
      <c r="C93" s="7" t="s">
        <v>80</v>
      </c>
      <c r="D93" s="8">
        <v>24</v>
      </c>
      <c r="E93" s="7">
        <v>3.5</v>
      </c>
      <c r="F93" s="7">
        <v>1.6</v>
      </c>
      <c r="G93" s="7">
        <f t="shared" si="6"/>
        <v>45.599999999999994</v>
      </c>
      <c r="H93" s="7" t="str">
        <f t="shared" si="7"/>
        <v>Thursday</v>
      </c>
      <c r="I93" s="102" t="str">
        <f t="shared" si="8"/>
        <v>Week 2</v>
      </c>
    </row>
    <row r="94" spans="2:9" ht="26.25" customHeight="1">
      <c r="B94" s="99">
        <v>46248</v>
      </c>
      <c r="C94" s="7" t="s">
        <v>41</v>
      </c>
      <c r="D94" s="8">
        <v>2</v>
      </c>
      <c r="E94" s="7">
        <v>325</v>
      </c>
      <c r="F94" s="7">
        <v>297</v>
      </c>
      <c r="G94" s="7">
        <f t="shared" si="6"/>
        <v>56</v>
      </c>
      <c r="H94" s="7" t="str">
        <f t="shared" si="7"/>
        <v>Friday</v>
      </c>
      <c r="I94" s="102" t="str">
        <f t="shared" si="8"/>
        <v>Week 2</v>
      </c>
    </row>
    <row r="95" spans="2:9" ht="26.25" customHeight="1">
      <c r="B95" s="99">
        <v>46248</v>
      </c>
      <c r="C95" s="7" t="s">
        <v>43</v>
      </c>
      <c r="D95" s="8">
        <v>6</v>
      </c>
      <c r="E95" s="7">
        <v>60</v>
      </c>
      <c r="F95" s="7">
        <v>49</v>
      </c>
      <c r="G95" s="7">
        <f t="shared" si="6"/>
        <v>66</v>
      </c>
      <c r="H95" s="7" t="str">
        <f t="shared" si="7"/>
        <v>Friday</v>
      </c>
      <c r="I95" s="102" t="str">
        <f t="shared" si="8"/>
        <v>Week 2</v>
      </c>
    </row>
    <row r="96" spans="2:9" ht="26.25" customHeight="1">
      <c r="B96" s="99">
        <v>46248</v>
      </c>
      <c r="C96" s="7" t="s">
        <v>93</v>
      </c>
      <c r="D96" s="8">
        <v>2</v>
      </c>
      <c r="E96" s="7">
        <v>160</v>
      </c>
      <c r="F96" s="7">
        <v>143</v>
      </c>
      <c r="G96" s="7">
        <f t="shared" si="6"/>
        <v>34</v>
      </c>
      <c r="H96" s="7" t="str">
        <f t="shared" si="7"/>
        <v>Friday</v>
      </c>
      <c r="I96" s="102" t="str">
        <f t="shared" si="8"/>
        <v>Week 2</v>
      </c>
    </row>
    <row r="97" spans="2:9" ht="26.25" customHeight="1">
      <c r="B97" s="99">
        <v>46248</v>
      </c>
      <c r="C97" s="7" t="s">
        <v>94</v>
      </c>
      <c r="D97" s="8">
        <v>2</v>
      </c>
      <c r="E97" s="7">
        <v>60</v>
      </c>
      <c r="F97" s="7">
        <v>47.5</v>
      </c>
      <c r="G97" s="7">
        <f t="shared" si="6"/>
        <v>25</v>
      </c>
      <c r="H97" s="7" t="str">
        <f t="shared" si="7"/>
        <v>Friday</v>
      </c>
      <c r="I97" s="102" t="str">
        <f t="shared" si="8"/>
        <v>Week 2</v>
      </c>
    </row>
    <row r="98" spans="2:9" ht="26.25" customHeight="1">
      <c r="B98" s="99">
        <v>46248</v>
      </c>
      <c r="C98" s="7" t="s">
        <v>95</v>
      </c>
      <c r="D98" s="8">
        <v>2</v>
      </c>
      <c r="E98" s="7">
        <v>40</v>
      </c>
      <c r="F98" s="7">
        <v>22</v>
      </c>
      <c r="G98" s="7">
        <f t="shared" si="6"/>
        <v>36</v>
      </c>
      <c r="H98" s="7" t="str">
        <f t="shared" si="7"/>
        <v>Friday</v>
      </c>
      <c r="I98" s="102" t="str">
        <f t="shared" si="8"/>
        <v>Week 2</v>
      </c>
    </row>
    <row r="99" spans="2:9" ht="26.25" customHeight="1">
      <c r="B99" s="99">
        <v>46248</v>
      </c>
      <c r="C99" s="7" t="s">
        <v>96</v>
      </c>
      <c r="D99" s="8">
        <v>2</v>
      </c>
      <c r="E99" s="7">
        <v>130</v>
      </c>
      <c r="F99" s="7">
        <v>93</v>
      </c>
      <c r="G99" s="7">
        <f t="shared" si="6"/>
        <v>74</v>
      </c>
      <c r="H99" s="7" t="str">
        <f t="shared" si="7"/>
        <v>Friday</v>
      </c>
      <c r="I99" s="102" t="str">
        <f t="shared" si="8"/>
        <v>Week 2</v>
      </c>
    </row>
    <row r="100" spans="2:9" ht="26.25" customHeight="1">
      <c r="B100" s="99">
        <v>46248</v>
      </c>
      <c r="C100" s="7" t="s">
        <v>59</v>
      </c>
      <c r="D100" s="8">
        <v>12</v>
      </c>
      <c r="E100" s="7">
        <v>15</v>
      </c>
      <c r="F100" s="7">
        <v>9.6</v>
      </c>
      <c r="G100" s="7">
        <f t="shared" si="6"/>
        <v>64.800000000000011</v>
      </c>
      <c r="H100" s="7" t="str">
        <f t="shared" si="7"/>
        <v>Friday</v>
      </c>
      <c r="I100" s="102" t="str">
        <f t="shared" si="8"/>
        <v>Week 2</v>
      </c>
    </row>
    <row r="101" spans="2:9" ht="26.25" customHeight="1">
      <c r="B101" s="99">
        <v>46248</v>
      </c>
      <c r="C101" s="7" t="s">
        <v>58</v>
      </c>
      <c r="D101" s="8">
        <v>7</v>
      </c>
      <c r="E101" s="7">
        <v>50</v>
      </c>
      <c r="F101" s="7">
        <v>36.5</v>
      </c>
      <c r="G101" s="7">
        <f t="shared" si="6"/>
        <v>94.5</v>
      </c>
      <c r="H101" s="7" t="str">
        <f t="shared" si="7"/>
        <v>Friday</v>
      </c>
      <c r="I101" s="102" t="str">
        <f t="shared" si="8"/>
        <v>Week 2</v>
      </c>
    </row>
    <row r="102" spans="2:9" ht="26.25" customHeight="1">
      <c r="B102" s="99">
        <v>46249</v>
      </c>
      <c r="C102" s="8" t="s">
        <v>97</v>
      </c>
      <c r="D102" s="8">
        <v>1</v>
      </c>
      <c r="E102" s="7">
        <v>1100</v>
      </c>
      <c r="F102" s="7">
        <v>980</v>
      </c>
      <c r="G102" s="7">
        <f>(E102-F102)*D102</f>
        <v>120</v>
      </c>
      <c r="H102" s="7" t="str">
        <f>TEXT(B102,"dddd")</f>
        <v>Saturday</v>
      </c>
      <c r="I102" s="102" t="str">
        <f>"Week " &amp; (INT((B102 - DATE(2026,8,3)) / 7) + 1)</f>
        <v>Week 2</v>
      </c>
    </row>
    <row r="103" spans="2:9" ht="26.25" customHeight="1">
      <c r="B103" s="99">
        <v>46249</v>
      </c>
      <c r="C103" s="8" t="s">
        <v>34</v>
      </c>
      <c r="D103" s="8">
        <v>4</v>
      </c>
      <c r="E103" s="7">
        <v>550</v>
      </c>
      <c r="F103" s="7">
        <v>523.5</v>
      </c>
      <c r="G103" s="7">
        <f>(E103-F103)*D103</f>
        <v>106</v>
      </c>
      <c r="H103" s="7" t="str">
        <f>TEXT(B103,"dddd")</f>
        <v>Saturday</v>
      </c>
      <c r="I103" s="102" t="str">
        <f>"Week " &amp; (INT((B103 - DATE(2026,8,3)) / 7) + 1)</f>
        <v>Week 2</v>
      </c>
    </row>
    <row r="104" spans="2:9" ht="26.25" customHeight="1">
      <c r="B104" s="99">
        <v>46249</v>
      </c>
      <c r="C104" s="8" t="s">
        <v>98</v>
      </c>
      <c r="D104" s="8">
        <v>1</v>
      </c>
      <c r="E104" s="7">
        <v>380</v>
      </c>
      <c r="F104" s="7">
        <v>335</v>
      </c>
      <c r="G104" s="7">
        <f>(E104-F104)*D104</f>
        <v>45</v>
      </c>
      <c r="H104" s="7" t="str">
        <f>TEXT(B104,"dddd")</f>
        <v>Saturday</v>
      </c>
      <c r="I104" s="102" t="str">
        <f>"Week " &amp; (INT((B104 - DATE(2026,8,3)) / 7) + 1)</f>
        <v>Week 2</v>
      </c>
    </row>
    <row r="105" spans="2:9" ht="26.25" customHeight="1">
      <c r="B105" s="99">
        <v>46249</v>
      </c>
      <c r="C105" s="8" t="s">
        <v>99</v>
      </c>
      <c r="D105" s="8">
        <v>1</v>
      </c>
      <c r="E105" s="7">
        <v>50</v>
      </c>
      <c r="F105" s="7">
        <v>22</v>
      </c>
      <c r="G105" s="7">
        <f>(E105-F105)*D105</f>
        <v>28</v>
      </c>
      <c r="H105" s="7" t="str">
        <f>TEXT(B105,"dddd")</f>
        <v>Saturday</v>
      </c>
      <c r="I105" s="102" t="str">
        <f>"Week " &amp; (INT((B105 - DATE(2026,8,3)) / 7) + 1)</f>
        <v>Week 2</v>
      </c>
    </row>
    <row r="106" spans="2:9" ht="26.25" customHeight="1">
      <c r="B106" s="99">
        <v>46249</v>
      </c>
      <c r="C106" s="8" t="s">
        <v>100</v>
      </c>
      <c r="D106" s="8">
        <v>1</v>
      </c>
      <c r="E106" s="7">
        <v>60</v>
      </c>
      <c r="F106" s="7">
        <v>46</v>
      </c>
      <c r="G106" s="7">
        <f>(E106-F106)*D106</f>
        <v>14</v>
      </c>
      <c r="H106" s="7" t="str">
        <f>TEXT(B106,"dddd")</f>
        <v>Saturday</v>
      </c>
      <c r="I106" s="102" t="str">
        <f>"Week " &amp; (INT((B106 - DATE(2026,8,3)) / 7) + 1)</f>
        <v>Week 2</v>
      </c>
    </row>
    <row r="107" spans="2:9" ht="26.25" customHeight="1">
      <c r="B107" s="99">
        <v>46249</v>
      </c>
      <c r="C107" s="8" t="s">
        <v>32</v>
      </c>
      <c r="D107" s="8">
        <v>5</v>
      </c>
      <c r="E107" s="7">
        <v>60</v>
      </c>
      <c r="F107" s="7">
        <v>42</v>
      </c>
      <c r="G107" s="7">
        <f>(E107-F107)*D107</f>
        <v>90</v>
      </c>
      <c r="H107" s="7" t="str">
        <f>TEXT(B107,"dddd")</f>
        <v>Saturday</v>
      </c>
      <c r="I107" s="102" t="str">
        <f>"Week " &amp; (INT((B107 - DATE(2026,8,3)) / 7) + 1)</f>
        <v>Week 2</v>
      </c>
    </row>
    <row r="108" spans="2:9" ht="26.25" customHeight="1">
      <c r="B108" s="99">
        <v>46249</v>
      </c>
      <c r="C108" s="8" t="s">
        <v>33</v>
      </c>
      <c r="D108" s="8">
        <v>1</v>
      </c>
      <c r="E108" s="7">
        <v>60</v>
      </c>
      <c r="F108" s="7">
        <v>47.5</v>
      </c>
      <c r="G108" s="7">
        <f>(E108-F108)*D108</f>
        <v>12.5</v>
      </c>
      <c r="H108" s="7" t="str">
        <f>TEXT(B108,"dddd")</f>
        <v>Saturday</v>
      </c>
      <c r="I108" s="102" t="str">
        <f>"Week " &amp; (INT((B108 - DATE(2026,8,3)) / 7) + 1)</f>
        <v>Week 2</v>
      </c>
    </row>
    <row r="109" spans="2:9" ht="26.25" customHeight="1">
      <c r="B109" s="99">
        <v>46249</v>
      </c>
      <c r="C109" s="8" t="s">
        <v>101</v>
      </c>
      <c r="D109" s="8">
        <v>1</v>
      </c>
      <c r="E109" s="7">
        <v>140</v>
      </c>
      <c r="F109" s="7">
        <v>98</v>
      </c>
      <c r="G109" s="7">
        <f>(E109-F109)*D109</f>
        <v>42</v>
      </c>
      <c r="H109" s="7" t="str">
        <f>TEXT(B109,"dddd")</f>
        <v>Saturday</v>
      </c>
      <c r="I109" s="102" t="str">
        <f>"Week " &amp; (INT((B109 - DATE(2026,8,3)) / 7) + 1)</f>
        <v>Week 2</v>
      </c>
    </row>
    <row r="110" spans="2:9" ht="26.25" customHeight="1">
      <c r="B110" s="99">
        <v>46250</v>
      </c>
      <c r="C110" s="8" t="s">
        <v>40</v>
      </c>
      <c r="D110" s="8">
        <v>1</v>
      </c>
      <c r="E110" s="7">
        <v>450</v>
      </c>
      <c r="F110" s="7">
        <v>376</v>
      </c>
      <c r="G110" s="7">
        <f>(E110-F110)*D110</f>
        <v>74</v>
      </c>
      <c r="H110" s="7" t="str">
        <f>TEXT(B110,"dddd")</f>
        <v>Sunday</v>
      </c>
      <c r="I110" s="102" t="str">
        <f>"Week " &amp; (INT((B110 - DATE(2026,8,3)) / 7) + 1)</f>
        <v>Week 2</v>
      </c>
    </row>
    <row r="111" spans="2:9" ht="26.25" customHeight="1">
      <c r="B111" s="99">
        <v>46250</v>
      </c>
      <c r="C111" s="8" t="s">
        <v>25</v>
      </c>
      <c r="D111" s="8">
        <v>5</v>
      </c>
      <c r="E111" s="7">
        <v>280</v>
      </c>
      <c r="F111" s="7">
        <v>255</v>
      </c>
      <c r="G111" s="7">
        <f>(E111-F111)*D111</f>
        <v>125</v>
      </c>
      <c r="H111" s="7" t="str">
        <f>TEXT(B111,"dddd")</f>
        <v>Sunday</v>
      </c>
      <c r="I111" s="102" t="str">
        <f>"Week " &amp; (INT((B111 - DATE(2026,8,3)) / 7) + 1)</f>
        <v>Week 2</v>
      </c>
    </row>
    <row r="112" spans="2:9" ht="26.25" customHeight="1">
      <c r="B112" s="99">
        <v>46250</v>
      </c>
      <c r="C112" s="8" t="s">
        <v>91</v>
      </c>
      <c r="D112" s="8">
        <v>1</v>
      </c>
      <c r="E112" s="7">
        <v>120</v>
      </c>
      <c r="F112" s="7">
        <v>88</v>
      </c>
      <c r="G112" s="7">
        <f>(E112-F112)*D112</f>
        <v>32</v>
      </c>
      <c r="H112" s="7" t="str">
        <f>TEXT(B112,"dddd")</f>
        <v>Sunday</v>
      </c>
      <c r="I112" s="102" t="str">
        <f>"Week " &amp; (INT((B112 - DATE(2026,8,3)) / 7) + 1)</f>
        <v>Week 2</v>
      </c>
    </row>
    <row r="113" spans="2:9" ht="26.25" customHeight="1">
      <c r="B113" s="99">
        <v>46250</v>
      </c>
      <c r="C113" s="8" t="s">
        <v>27</v>
      </c>
      <c r="D113" s="8">
        <v>1</v>
      </c>
      <c r="E113" s="7">
        <v>240</v>
      </c>
      <c r="F113" s="7">
        <v>215</v>
      </c>
      <c r="G113" s="7">
        <f>(E113-F113)*D113</f>
        <v>25</v>
      </c>
      <c r="H113" s="7" t="str">
        <f>TEXT(B113,"dddd")</f>
        <v>Sunday</v>
      </c>
      <c r="I113" s="102" t="str">
        <f>"Week " &amp; (INT((B113 - DATE(2026,8,3)) / 7) + 1)</f>
        <v>Week 2</v>
      </c>
    </row>
    <row r="114" spans="2:9" ht="26.25" customHeight="1">
      <c r="B114" s="99">
        <v>46250</v>
      </c>
      <c r="C114" s="8" t="s">
        <v>102</v>
      </c>
      <c r="D114" s="8">
        <v>2</v>
      </c>
      <c r="E114" s="7">
        <v>45</v>
      </c>
      <c r="F114" s="7">
        <v>36.9</v>
      </c>
      <c r="G114" s="7">
        <f>(E114-F114)*D114</f>
        <v>16.200000000000003</v>
      </c>
      <c r="H114" s="7" t="str">
        <f>TEXT(B114,"dddd")</f>
        <v>Sunday</v>
      </c>
      <c r="I114" s="102" t="str">
        <f>"Week " &amp; (INT((B114 - DATE(2026,8,3)) / 7) + 1)</f>
        <v>Week 2</v>
      </c>
    </row>
    <row r="115" spans="2:9" ht="26.25" customHeight="1">
      <c r="B115" s="99">
        <v>46250</v>
      </c>
      <c r="C115" s="8" t="s">
        <v>100</v>
      </c>
      <c r="D115" s="8">
        <v>1</v>
      </c>
      <c r="E115" s="7">
        <v>90</v>
      </c>
      <c r="F115" s="7">
        <v>65</v>
      </c>
      <c r="G115" s="7">
        <f>(E115-F115)*D115</f>
        <v>25</v>
      </c>
      <c r="H115" s="7" t="str">
        <f>TEXT(B115,"dddd")</f>
        <v>Sunday</v>
      </c>
      <c r="I115" s="102" t="str">
        <f>"Week " &amp; (INT((B115 - DATE(2026,8,3)) / 7) + 1)</f>
        <v>Week 2</v>
      </c>
    </row>
    <row r="116" spans="2:9" ht="26.25" customHeight="1">
      <c r="B116" s="99">
        <v>46250</v>
      </c>
      <c r="C116" s="8" t="s">
        <v>103</v>
      </c>
      <c r="D116" s="8">
        <v>1</v>
      </c>
      <c r="E116" s="7">
        <v>1600</v>
      </c>
      <c r="F116" s="7">
        <v>1440</v>
      </c>
      <c r="G116" s="7">
        <f>(E116-F116)*D116</f>
        <v>160</v>
      </c>
      <c r="H116" s="7" t="str">
        <f>TEXT(B116,"dddd")</f>
        <v>Sunday</v>
      </c>
      <c r="I116" s="102" t="str">
        <f>"Week " &amp; (INT((B116 - DATE(2026,8,3)) / 7) + 1)</f>
        <v>Week 2</v>
      </c>
    </row>
    <row r="117" spans="2:9" ht="26.25" customHeight="1">
      <c r="B117" s="99">
        <v>46250</v>
      </c>
      <c r="C117" s="8" t="s">
        <v>104</v>
      </c>
      <c r="D117" s="8">
        <v>3</v>
      </c>
      <c r="E117" s="7">
        <v>15</v>
      </c>
      <c r="F117" s="7">
        <v>9.8000000000000007</v>
      </c>
      <c r="G117" s="7">
        <f>(E117-F117)*D117</f>
        <v>15.599999999999998</v>
      </c>
      <c r="H117" s="7" t="str">
        <f>TEXT(B117,"dddd")</f>
        <v>Sunday</v>
      </c>
      <c r="I117" s="102" t="str">
        <f>"Week " &amp; (INT((B117 - DATE(2026,8,3)) / 7) + 1)</f>
        <v>Week 2</v>
      </c>
    </row>
    <row r="118" spans="2:9" ht="26.25" customHeight="1">
      <c r="B118" s="99">
        <v>46250</v>
      </c>
      <c r="C118" s="8" t="s">
        <v>105</v>
      </c>
      <c r="D118" s="8">
        <v>5</v>
      </c>
      <c r="E118" s="7">
        <v>15</v>
      </c>
      <c r="F118" s="7">
        <v>11</v>
      </c>
      <c r="G118" s="7">
        <f>(E118-F118)*D118</f>
        <v>20</v>
      </c>
      <c r="H118" s="7" t="str">
        <f>TEXT(B118,"dddd")</f>
        <v>Sunday</v>
      </c>
      <c r="I118" s="102" t="str">
        <f>"Week " &amp; (INT((B118 - DATE(2026,8,3)) / 7) + 1)</f>
        <v>Week 2</v>
      </c>
    </row>
    <row r="119" spans="2:9" ht="26.25" customHeight="1">
      <c r="B119" s="99">
        <v>46251</v>
      </c>
      <c r="C119" s="8" t="s">
        <v>76</v>
      </c>
      <c r="D119" s="8">
        <v>10</v>
      </c>
      <c r="E119" s="7">
        <v>170</v>
      </c>
      <c r="F119" s="7">
        <v>152.5</v>
      </c>
      <c r="G119" s="7">
        <f>(E119-F119)*D119</f>
        <v>175</v>
      </c>
      <c r="H119" s="7" t="str">
        <f>TEXT(B119,"dddd")</f>
        <v>Monday</v>
      </c>
      <c r="I119" s="102" t="str">
        <f>"Week " &amp; (INT((B119 - DATE(2026,8,3)) / 7) + 1)</f>
        <v>Week 3</v>
      </c>
    </row>
    <row r="120" spans="2:9" ht="26.25" customHeight="1">
      <c r="B120" s="99">
        <v>46251</v>
      </c>
      <c r="C120" s="8" t="s">
        <v>106</v>
      </c>
      <c r="D120" s="8">
        <v>12</v>
      </c>
      <c r="E120" s="7">
        <v>10</v>
      </c>
      <c r="F120" s="7">
        <v>6.5</v>
      </c>
      <c r="G120" s="7">
        <f>(E120-F120)*D120</f>
        <v>42</v>
      </c>
      <c r="H120" s="7" t="str">
        <f>TEXT(B120,"dddd")</f>
        <v>Monday</v>
      </c>
      <c r="I120" s="102" t="str">
        <f>"Week " &amp; (INT((B120 - DATE(2026,8,3)) / 7) + 1)</f>
        <v>Week 3</v>
      </c>
    </row>
    <row r="121" spans="2:9" ht="26.25" customHeight="1">
      <c r="B121" s="99">
        <v>46251</v>
      </c>
      <c r="C121" s="8" t="s">
        <v>77</v>
      </c>
      <c r="D121" s="8">
        <v>5</v>
      </c>
      <c r="E121" s="7">
        <v>15</v>
      </c>
      <c r="F121" s="7">
        <v>12.5</v>
      </c>
      <c r="G121" s="7">
        <f>(E121-F121)*D121</f>
        <v>12.5</v>
      </c>
      <c r="H121" s="7" t="str">
        <f>TEXT(B121,"dddd")</f>
        <v>Monday</v>
      </c>
      <c r="I121" s="102" t="str">
        <f>"Week " &amp; (INT((B121 - DATE(2026,8,3)) / 7) + 1)</f>
        <v>Week 3</v>
      </c>
    </row>
    <row r="122" spans="2:9" ht="26.25" customHeight="1">
      <c r="B122" s="99">
        <v>46251</v>
      </c>
      <c r="C122" s="8" t="s">
        <v>107</v>
      </c>
      <c r="D122" s="8">
        <v>1</v>
      </c>
      <c r="E122" s="7">
        <v>380</v>
      </c>
      <c r="F122" s="7">
        <v>342</v>
      </c>
      <c r="G122" s="7">
        <f>(E122-F122)*D122</f>
        <v>38</v>
      </c>
      <c r="H122" s="7" t="str">
        <f>TEXT(B122,"dddd")</f>
        <v>Monday</v>
      </c>
      <c r="I122" s="102" t="str">
        <f>"Week " &amp; (INT((B122 - DATE(2026,8,3)) / 7) + 1)</f>
        <v>Week 3</v>
      </c>
    </row>
    <row r="123" spans="2:9" ht="26.25" customHeight="1">
      <c r="B123" s="99">
        <v>46251</v>
      </c>
      <c r="C123" s="8" t="s">
        <v>88</v>
      </c>
      <c r="D123" s="8">
        <v>1</v>
      </c>
      <c r="E123" s="7">
        <v>65</v>
      </c>
      <c r="F123" s="7">
        <v>51</v>
      </c>
      <c r="G123" s="7">
        <f>(E123-F123)*D123</f>
        <v>14</v>
      </c>
      <c r="H123" s="7" t="str">
        <f>TEXT(B123,"dddd")</f>
        <v>Monday</v>
      </c>
      <c r="I123" s="102" t="str">
        <f>"Week " &amp; (INT((B123 - DATE(2026,8,3)) / 7) + 1)</f>
        <v>Week 3</v>
      </c>
    </row>
    <row r="124" spans="2:9" ht="26.25" customHeight="1">
      <c r="B124" s="99">
        <v>46251</v>
      </c>
      <c r="C124" s="8" t="s">
        <v>108</v>
      </c>
      <c r="D124" s="8">
        <v>1</v>
      </c>
      <c r="E124" s="7">
        <v>55</v>
      </c>
      <c r="F124" s="7">
        <v>46</v>
      </c>
      <c r="G124" s="7">
        <f>(E124-F124)*D124</f>
        <v>9</v>
      </c>
      <c r="H124" s="7" t="str">
        <f>TEXT(B124,"dddd")</f>
        <v>Monday</v>
      </c>
      <c r="I124" s="102" t="str">
        <f>"Week " &amp; (INT((B124 - DATE(2026,8,3)) / 7) + 1)</f>
        <v>Week 3</v>
      </c>
    </row>
    <row r="125" spans="2:9" ht="26.25" customHeight="1">
      <c r="B125" s="99">
        <v>46251</v>
      </c>
      <c r="C125" s="8" t="s">
        <v>32</v>
      </c>
      <c r="D125" s="8">
        <v>1</v>
      </c>
      <c r="E125" s="7">
        <v>60</v>
      </c>
      <c r="F125" s="7">
        <v>38</v>
      </c>
      <c r="G125" s="7">
        <f>(E125-F125)*D125</f>
        <v>22</v>
      </c>
      <c r="H125" s="7" t="str">
        <f>TEXT(B125,"dddd")</f>
        <v>Monday</v>
      </c>
      <c r="I125" s="102" t="str">
        <f>"Week " &amp; (INT((B125 - DATE(2026,8,3)) / 7) + 1)</f>
        <v>Week 3</v>
      </c>
    </row>
    <row r="126" spans="2:9" ht="26.25" customHeight="1">
      <c r="B126" s="99">
        <v>46251</v>
      </c>
      <c r="C126" s="8" t="s">
        <v>79</v>
      </c>
      <c r="D126" s="8">
        <v>1</v>
      </c>
      <c r="E126" s="7">
        <v>220</v>
      </c>
      <c r="F126" s="7">
        <v>180</v>
      </c>
      <c r="G126" s="7">
        <f>(E126-F126)*D126</f>
        <v>40</v>
      </c>
      <c r="H126" s="7" t="str">
        <f>TEXT(B126,"dddd")</f>
        <v>Monday</v>
      </c>
      <c r="I126" s="102" t="str">
        <f>"Week " &amp; (INT((B126 - DATE(2026,8,3)) / 7) + 1)</f>
        <v>Week 3</v>
      </c>
    </row>
    <row r="127" spans="2:9" ht="26.25" customHeight="1">
      <c r="B127" s="99">
        <v>46251</v>
      </c>
      <c r="C127" s="8" t="s">
        <v>109</v>
      </c>
      <c r="D127" s="8">
        <v>1</v>
      </c>
      <c r="E127" s="7">
        <v>5600</v>
      </c>
      <c r="F127" s="7">
        <v>5400</v>
      </c>
      <c r="G127" s="7">
        <f>(E127-F127)*D127</f>
        <v>200</v>
      </c>
      <c r="H127" s="7" t="str">
        <f>TEXT(B127,"dddd")</f>
        <v>Monday</v>
      </c>
      <c r="I127" s="102" t="str">
        <f>"Week " &amp; (INT((B127 - DATE(2026,8,3)) / 7) + 1)</f>
        <v>Week 3</v>
      </c>
    </row>
    <row r="128" spans="2:9" ht="26.25" customHeight="1">
      <c r="B128" s="99">
        <v>46252</v>
      </c>
      <c r="C128" s="8" t="s">
        <v>49</v>
      </c>
      <c r="D128" s="8">
        <v>1</v>
      </c>
      <c r="E128" s="7">
        <v>2600</v>
      </c>
      <c r="F128" s="7">
        <v>2350</v>
      </c>
      <c r="G128" s="7">
        <f>(E128-F128)*D128</f>
        <v>250</v>
      </c>
      <c r="H128" s="7" t="str">
        <f>TEXT(B128,"dddd")</f>
        <v>Tuesday</v>
      </c>
      <c r="I128" s="102" t="str">
        <f>"Week " &amp; (INT((B128 - DATE(2026,8,3)) / 7) + 1)</f>
        <v>Week 3</v>
      </c>
    </row>
    <row r="129" spans="2:9" ht="26.25" customHeight="1">
      <c r="B129" s="99">
        <v>46252</v>
      </c>
      <c r="C129" s="8" t="s">
        <v>110</v>
      </c>
      <c r="D129" s="8">
        <v>1</v>
      </c>
      <c r="E129" s="7">
        <v>230</v>
      </c>
      <c r="F129" s="7">
        <v>177</v>
      </c>
      <c r="G129" s="7">
        <f>(E129-F129)*D129</f>
        <v>53</v>
      </c>
      <c r="H129" s="7" t="str">
        <f>TEXT(B129,"dddd")</f>
        <v>Tuesday</v>
      </c>
      <c r="I129" s="102" t="str">
        <f>"Week " &amp; (INT((B129 - DATE(2026,8,3)) / 7) + 1)</f>
        <v>Week 3</v>
      </c>
    </row>
    <row r="130" spans="2:9" ht="26.25" customHeight="1">
      <c r="B130" s="99">
        <v>46252</v>
      </c>
      <c r="C130" s="8" t="s">
        <v>47</v>
      </c>
      <c r="D130" s="8">
        <v>1</v>
      </c>
      <c r="E130" s="7">
        <v>90</v>
      </c>
      <c r="F130" s="7">
        <v>72</v>
      </c>
      <c r="G130" s="7">
        <f>(E130-F130)*D130</f>
        <v>18</v>
      </c>
      <c r="H130" s="7" t="str">
        <f>TEXT(B130,"dddd")</f>
        <v>Tuesday</v>
      </c>
      <c r="I130" s="102" t="str">
        <f>"Week " &amp; (INT((B130 - DATE(2026,8,3)) / 7) + 1)</f>
        <v>Week 3</v>
      </c>
    </row>
    <row r="131" spans="2:9" ht="26.25" customHeight="1">
      <c r="B131" s="99">
        <v>46252</v>
      </c>
      <c r="C131" s="8" t="s">
        <v>86</v>
      </c>
      <c r="D131" s="8">
        <v>1</v>
      </c>
      <c r="E131" s="7">
        <v>110</v>
      </c>
      <c r="F131" s="7">
        <v>80</v>
      </c>
      <c r="G131" s="7">
        <f>(E131-F131)*D131</f>
        <v>30</v>
      </c>
      <c r="H131" s="7" t="str">
        <f>TEXT(B131,"dddd")</f>
        <v>Tuesday</v>
      </c>
      <c r="I131" s="102" t="str">
        <f>"Week " &amp; (INT((B131 - DATE(2026,8,3)) / 7) + 1)</f>
        <v>Week 3</v>
      </c>
    </row>
    <row r="132" spans="2:9" ht="26.25" customHeight="1">
      <c r="B132" s="99">
        <v>46252</v>
      </c>
      <c r="C132" s="8" t="s">
        <v>111</v>
      </c>
      <c r="D132" s="8">
        <v>1</v>
      </c>
      <c r="E132" s="7">
        <v>60</v>
      </c>
      <c r="F132" s="7">
        <v>38</v>
      </c>
      <c r="G132" s="7">
        <f>(E132-F132)*D132</f>
        <v>22</v>
      </c>
      <c r="H132" s="7" t="str">
        <f>TEXT(B132,"dddd")</f>
        <v>Tuesday</v>
      </c>
      <c r="I132" s="102" t="str">
        <f>"Week " &amp; (INT((B132 - DATE(2026,8,3)) / 7) + 1)</f>
        <v>Week 3</v>
      </c>
    </row>
    <row r="133" spans="2:9" ht="26.25" customHeight="1">
      <c r="B133" s="99">
        <v>46252</v>
      </c>
      <c r="C133" s="8" t="s">
        <v>50</v>
      </c>
      <c r="D133" s="8">
        <v>1</v>
      </c>
      <c r="E133" s="7">
        <v>70</v>
      </c>
      <c r="F133" s="7">
        <v>52</v>
      </c>
      <c r="G133" s="7">
        <f>(E133-F133)*D133</f>
        <v>18</v>
      </c>
      <c r="H133" s="7" t="str">
        <f>TEXT(B133,"dddd")</f>
        <v>Tuesday</v>
      </c>
      <c r="I133" s="102" t="str">
        <f>"Week " &amp; (INT((B133 - DATE(2026,8,3)) / 7) + 1)</f>
        <v>Week 3</v>
      </c>
    </row>
    <row r="134" spans="2:9" ht="26.25" customHeight="1">
      <c r="B134" s="99">
        <v>46252</v>
      </c>
      <c r="C134" s="8" t="s">
        <v>52</v>
      </c>
      <c r="D134" s="8">
        <v>1</v>
      </c>
      <c r="E134" s="7">
        <v>40</v>
      </c>
      <c r="F134" s="7">
        <v>33</v>
      </c>
      <c r="G134" s="7">
        <f>(E134-F134)*D134</f>
        <v>7</v>
      </c>
      <c r="H134" s="7" t="str">
        <f>TEXT(B134,"dddd")</f>
        <v>Tuesday</v>
      </c>
      <c r="I134" s="102" t="str">
        <f>"Week " &amp; (INT((B134 - DATE(2026,8,3)) / 7) + 1)</f>
        <v>Week 3</v>
      </c>
    </row>
    <row r="135" spans="2:9" ht="26.25" customHeight="1">
      <c r="B135" s="99">
        <v>46252</v>
      </c>
      <c r="C135" s="8" t="s">
        <v>51</v>
      </c>
      <c r="D135" s="8">
        <v>2</v>
      </c>
      <c r="E135" s="7">
        <v>120</v>
      </c>
      <c r="F135" s="7">
        <v>84</v>
      </c>
      <c r="G135" s="7">
        <f>(E135-F135)*D135</f>
        <v>72</v>
      </c>
      <c r="H135" s="7" t="str">
        <f>TEXT(B135,"dddd")</f>
        <v>Tuesday</v>
      </c>
      <c r="I135" s="102" t="str">
        <f>"Week " &amp; (INT((B135 - DATE(2026,8,3)) / 7) + 1)</f>
        <v>Week 3</v>
      </c>
    </row>
    <row r="136" spans="2:9" ht="26.25" customHeight="1">
      <c r="B136" s="99">
        <v>46252</v>
      </c>
      <c r="C136" s="8" t="s">
        <v>112</v>
      </c>
      <c r="D136" s="8">
        <v>1</v>
      </c>
      <c r="E136" s="7">
        <v>80</v>
      </c>
      <c r="F136" s="7">
        <v>56</v>
      </c>
      <c r="G136" s="7">
        <f>(E136-F136)*D136</f>
        <v>24</v>
      </c>
      <c r="H136" s="7" t="str">
        <f>TEXT(B136,"dddd")</f>
        <v>Tuesday</v>
      </c>
      <c r="I136" s="102" t="str">
        <f>"Week " &amp; (INT((B136 - DATE(2026,8,3)) / 7) + 1)</f>
        <v>Week 3</v>
      </c>
    </row>
    <row r="137" spans="2:9" ht="26.25" customHeight="1">
      <c r="B137" s="99">
        <v>46253</v>
      </c>
      <c r="C137" s="8" t="s">
        <v>41</v>
      </c>
      <c r="D137" s="8">
        <v>6</v>
      </c>
      <c r="E137" s="7">
        <v>330</v>
      </c>
      <c r="F137" s="7">
        <v>302</v>
      </c>
      <c r="G137" s="7">
        <f>(E137-F137)*D137</f>
        <v>168</v>
      </c>
      <c r="H137" s="7" t="str">
        <f>TEXT(B137,"dddd")</f>
        <v>Wednesday</v>
      </c>
      <c r="I137" s="102" t="str">
        <f>"Week " &amp; (INT((B137 - DATE(2026,8,3)) / 7) + 1)</f>
        <v>Week 3</v>
      </c>
    </row>
    <row r="138" spans="2:9" ht="26.25" customHeight="1">
      <c r="B138" s="99">
        <v>46253</v>
      </c>
      <c r="C138" s="8" t="s">
        <v>45</v>
      </c>
      <c r="D138" s="8">
        <v>10</v>
      </c>
      <c r="E138" s="7">
        <v>20</v>
      </c>
      <c r="F138" s="7">
        <v>16.5</v>
      </c>
      <c r="G138" s="7">
        <f>(E138-F138)*D138</f>
        <v>35</v>
      </c>
      <c r="H138" s="7" t="str">
        <f>TEXT(B138,"dddd")</f>
        <v>Wednesday</v>
      </c>
      <c r="I138" s="102" t="str">
        <f>"Week " &amp; (INT((B138 - DATE(2026,8,3)) / 7) + 1)</f>
        <v>Week 3</v>
      </c>
    </row>
    <row r="139" spans="2:9" ht="26.25" customHeight="1">
      <c r="B139" s="99">
        <v>46253</v>
      </c>
      <c r="C139" s="8" t="s">
        <v>95</v>
      </c>
      <c r="D139" s="8">
        <v>4</v>
      </c>
      <c r="E139" s="7">
        <v>30</v>
      </c>
      <c r="F139" s="7">
        <v>18</v>
      </c>
      <c r="G139" s="7">
        <f>(E139-F139)*D139</f>
        <v>48</v>
      </c>
      <c r="H139" s="7" t="str">
        <f>TEXT(B139,"dddd")</f>
        <v>Wednesday</v>
      </c>
      <c r="I139" s="102" t="str">
        <f>"Week " &amp; (INT((B139 - DATE(2026,8,3)) / 7) + 1)</f>
        <v>Week 3</v>
      </c>
    </row>
    <row r="140" spans="2:9" ht="26.25" customHeight="1">
      <c r="B140" s="99">
        <v>46253</v>
      </c>
      <c r="C140" s="8" t="s">
        <v>96</v>
      </c>
      <c r="D140" s="8">
        <v>1</v>
      </c>
      <c r="E140" s="7">
        <v>140</v>
      </c>
      <c r="F140" s="7">
        <v>112</v>
      </c>
      <c r="G140" s="7">
        <f>(E140-F140)*D140</f>
        <v>28</v>
      </c>
      <c r="H140" s="7" t="str">
        <f>TEXT(B140,"dddd")</f>
        <v>Wednesday</v>
      </c>
      <c r="I140" s="102" t="str">
        <f>"Week " &amp; (INT((B140 - DATE(2026,8,3)) / 7) + 1)</f>
        <v>Week 3</v>
      </c>
    </row>
    <row r="141" spans="2:9" ht="26.25" customHeight="1">
      <c r="B141" s="99">
        <v>46253</v>
      </c>
      <c r="C141" s="8" t="s">
        <v>76</v>
      </c>
      <c r="D141" s="8">
        <v>2</v>
      </c>
      <c r="E141" s="7">
        <v>175</v>
      </c>
      <c r="F141" s="7">
        <v>152.5</v>
      </c>
      <c r="G141" s="7">
        <f t="shared" ref="G141:G142" si="9">(E141-F141)*D141</f>
        <v>45</v>
      </c>
      <c r="H141" s="7" t="str">
        <f t="shared" ref="H141:H142" si="10">TEXT(B141,"dddd")</f>
        <v>Wednesday</v>
      </c>
      <c r="I141" s="102" t="str">
        <f t="shared" ref="I141:I142" si="11">"Week " &amp; (INT((B141 - DATE(2026,8,3)) / 7) + 1)</f>
        <v>Week 3</v>
      </c>
    </row>
    <row r="142" spans="2:9" ht="26.25" customHeight="1">
      <c r="B142" s="99">
        <v>46253</v>
      </c>
      <c r="C142" s="8" t="s">
        <v>77</v>
      </c>
      <c r="D142" s="8">
        <v>5</v>
      </c>
      <c r="E142" s="7">
        <v>15</v>
      </c>
      <c r="F142" s="7">
        <v>12.5</v>
      </c>
      <c r="G142" s="7">
        <f t="shared" si="9"/>
        <v>12.5</v>
      </c>
      <c r="H142" s="7" t="str">
        <f t="shared" si="10"/>
        <v>Wednesday</v>
      </c>
      <c r="I142" s="102" t="str">
        <f t="shared" si="11"/>
        <v>Week 3</v>
      </c>
    </row>
    <row r="143" spans="2:9" ht="26.25" customHeight="1">
      <c r="B143" s="99">
        <v>46253</v>
      </c>
      <c r="C143" s="8" t="s">
        <v>88</v>
      </c>
      <c r="D143" s="8">
        <v>1</v>
      </c>
      <c r="E143" s="7">
        <v>70</v>
      </c>
      <c r="F143" s="7">
        <v>51</v>
      </c>
      <c r="G143" s="7">
        <f>(E143-F143)*D143</f>
        <v>19</v>
      </c>
      <c r="H143" s="7" t="str">
        <f>TEXT(B143,"dddd")</f>
        <v>Wednesday</v>
      </c>
      <c r="I143" s="102" t="str">
        <f>"Week " &amp; (INT((B143 - DATE(2026,8,3)) / 7) + 1)</f>
        <v>Week 3</v>
      </c>
    </row>
    <row r="144" spans="2:9" ht="26.25" customHeight="1">
      <c r="B144" s="99">
        <v>46253</v>
      </c>
      <c r="C144" s="8" t="s">
        <v>32</v>
      </c>
      <c r="D144" s="8">
        <v>1</v>
      </c>
      <c r="E144" s="7">
        <v>60</v>
      </c>
      <c r="F144" s="7">
        <v>38</v>
      </c>
      <c r="G144" s="7">
        <f>(E144-F144)*D144</f>
        <v>22</v>
      </c>
      <c r="H144" s="7" t="str">
        <f>TEXT(B144,"dddd")</f>
        <v>Wednesday</v>
      </c>
      <c r="I144" s="102" t="str">
        <f>"Week " &amp; (INT((B144 - DATE(2026,8,3)) / 7) + 1)</f>
        <v>Week 3</v>
      </c>
    </row>
    <row r="145" spans="2:9" ht="26.25" customHeight="1">
      <c r="B145" s="99">
        <v>46254</v>
      </c>
      <c r="C145" s="8" t="s">
        <v>113</v>
      </c>
      <c r="D145" s="8">
        <v>3</v>
      </c>
      <c r="E145" s="7">
        <v>1350</v>
      </c>
      <c r="F145" s="7">
        <v>1265</v>
      </c>
      <c r="G145" s="7">
        <f>(E145-F145)*D145</f>
        <v>255</v>
      </c>
      <c r="H145" s="7" t="str">
        <f>TEXT(B145,"dddd")</f>
        <v>Thursday</v>
      </c>
      <c r="I145" s="102" t="str">
        <f>"Week " &amp; (INT((B145 - DATE(2026,8,3)) / 7) + 1)</f>
        <v>Week 3</v>
      </c>
    </row>
    <row r="146" spans="2:9" ht="26.25" customHeight="1">
      <c r="B146" s="99">
        <v>46254</v>
      </c>
      <c r="C146" s="8" t="s">
        <v>114</v>
      </c>
      <c r="D146" s="8">
        <v>5</v>
      </c>
      <c r="E146" s="7">
        <v>490</v>
      </c>
      <c r="F146" s="7">
        <v>456</v>
      </c>
      <c r="G146" s="7">
        <f>(E146-F146)*D146</f>
        <v>170</v>
      </c>
      <c r="H146" s="7" t="str">
        <f>TEXT(B146,"dddd")</f>
        <v>Thursday</v>
      </c>
      <c r="I146" s="102" t="str">
        <f>"Week " &amp; (INT((B146 - DATE(2026,8,3)) / 7) + 1)</f>
        <v>Week 3</v>
      </c>
    </row>
    <row r="147" spans="2:9" ht="26.25" customHeight="1">
      <c r="B147" s="99">
        <v>46254</v>
      </c>
      <c r="C147" s="8" t="s">
        <v>115</v>
      </c>
      <c r="D147" s="8">
        <v>10</v>
      </c>
      <c r="E147" s="7">
        <v>50</v>
      </c>
      <c r="F147" s="7">
        <v>37</v>
      </c>
      <c r="G147" s="7">
        <f>(E147-F147)*D147</f>
        <v>130</v>
      </c>
      <c r="H147" s="7" t="str">
        <f>TEXT(B147,"dddd")</f>
        <v>Thursday</v>
      </c>
      <c r="I147" s="102" t="str">
        <f>"Week " &amp; (INT((B147 - DATE(2026,8,3)) / 7) + 1)</f>
        <v>Week 3</v>
      </c>
    </row>
    <row r="148" spans="2:9" ht="26.25" customHeight="1">
      <c r="B148" s="99">
        <v>46254</v>
      </c>
      <c r="C148" s="8" t="s">
        <v>116</v>
      </c>
      <c r="D148" s="8">
        <v>1</v>
      </c>
      <c r="E148" s="7">
        <v>800</v>
      </c>
      <c r="F148" s="7">
        <v>670</v>
      </c>
      <c r="G148" s="7">
        <f>(E148-F148)*D148</f>
        <v>130</v>
      </c>
      <c r="H148" s="7" t="str">
        <f>TEXT(B148,"dddd")</f>
        <v>Thursday</v>
      </c>
      <c r="I148" s="102" t="str">
        <f>"Week " &amp; (INT((B148 - DATE(2026,8,3)) / 7) + 1)</f>
        <v>Week 3</v>
      </c>
    </row>
    <row r="149" spans="2:9" ht="26.25" customHeight="1">
      <c r="B149" s="99">
        <v>46254</v>
      </c>
      <c r="C149" s="8" t="s">
        <v>97</v>
      </c>
      <c r="D149" s="8">
        <v>1</v>
      </c>
      <c r="E149" s="7">
        <v>1200</v>
      </c>
      <c r="F149" s="7">
        <v>1050</v>
      </c>
      <c r="G149" s="7">
        <f>(E149-F149)*D149</f>
        <v>150</v>
      </c>
      <c r="H149" s="7" t="str">
        <f>TEXT(B149,"dddd")</f>
        <v>Thursday</v>
      </c>
      <c r="I149" s="102" t="str">
        <f>"Week " &amp; (INT((B149 - DATE(2026,8,3)) / 7) + 1)</f>
        <v>Week 3</v>
      </c>
    </row>
    <row r="150" spans="2:9" ht="26.25" customHeight="1">
      <c r="B150" s="99">
        <v>46254</v>
      </c>
      <c r="C150" s="8" t="s">
        <v>79</v>
      </c>
      <c r="D150" s="8">
        <v>1</v>
      </c>
      <c r="E150" s="7">
        <v>160</v>
      </c>
      <c r="F150" s="7">
        <v>140</v>
      </c>
      <c r="G150" s="7">
        <f>(E150-F150)*D150</f>
        <v>20</v>
      </c>
      <c r="H150" s="7" t="str">
        <f>TEXT(B150,"dddd")</f>
        <v>Thursday</v>
      </c>
      <c r="I150" s="102" t="str">
        <f>"Week " &amp; (INT((B150 - DATE(2026,8,3)) / 7) + 1)</f>
        <v>Week 3</v>
      </c>
    </row>
    <row r="151" spans="2:9" ht="26.25" customHeight="1">
      <c r="B151" s="99">
        <v>46255</v>
      </c>
      <c r="C151" s="1" t="s">
        <v>34</v>
      </c>
      <c r="D151" s="2">
        <v>4</v>
      </c>
      <c r="E151" s="7">
        <v>550</v>
      </c>
      <c r="F151" s="7">
        <v>523</v>
      </c>
      <c r="G151" s="7">
        <f>(E151-F151)*D151</f>
        <v>108</v>
      </c>
      <c r="H151" s="7" t="str">
        <f>TEXT(B151,"dddd")</f>
        <v>Friday</v>
      </c>
      <c r="I151" s="102" t="str">
        <f>"Week " &amp; (INT((B151 - DATE(2026,8,3)) / 7) + 1)</f>
        <v>Week 3</v>
      </c>
    </row>
    <row r="152" spans="2:9" ht="26.25" customHeight="1">
      <c r="B152" s="99">
        <v>46255</v>
      </c>
      <c r="C152" s="1" t="s">
        <v>35</v>
      </c>
      <c r="D152" s="2">
        <v>3</v>
      </c>
      <c r="E152" s="7">
        <v>90</v>
      </c>
      <c r="F152" s="7">
        <v>78</v>
      </c>
      <c r="G152" s="7">
        <f t="shared" ref="G152:G158" si="12">(E152-F152)*D152</f>
        <v>36</v>
      </c>
      <c r="H152" s="7" t="str">
        <f t="shared" ref="H152:H158" si="13">TEXT(B152,"dddd")</f>
        <v>Friday</v>
      </c>
      <c r="I152" s="102" t="str">
        <f t="shared" ref="I152:I158" si="14">"Week " &amp; (INT((B152 - DATE(2026,8,3)) / 7) + 1)</f>
        <v>Week 3</v>
      </c>
    </row>
    <row r="153" spans="2:9" ht="26.25" customHeight="1">
      <c r="B153" s="99">
        <v>46255</v>
      </c>
      <c r="C153" s="1" t="s">
        <v>36</v>
      </c>
      <c r="D153" s="2">
        <v>8</v>
      </c>
      <c r="E153" s="7">
        <v>110</v>
      </c>
      <c r="F153" s="7">
        <v>89</v>
      </c>
      <c r="G153" s="7">
        <f t="shared" si="12"/>
        <v>168</v>
      </c>
      <c r="H153" s="7" t="str">
        <f t="shared" si="13"/>
        <v>Friday</v>
      </c>
      <c r="I153" s="102" t="str">
        <f t="shared" si="14"/>
        <v>Week 3</v>
      </c>
    </row>
    <row r="154" spans="2:9" ht="26.25" customHeight="1">
      <c r="B154" s="99">
        <v>46255</v>
      </c>
      <c r="C154" s="1" t="s">
        <v>117</v>
      </c>
      <c r="D154" s="2">
        <v>1</v>
      </c>
      <c r="E154" s="7">
        <v>160</v>
      </c>
      <c r="F154" s="7">
        <v>144</v>
      </c>
      <c r="G154" s="7">
        <f t="shared" si="12"/>
        <v>16</v>
      </c>
      <c r="H154" s="7" t="str">
        <f t="shared" si="13"/>
        <v>Friday</v>
      </c>
      <c r="I154" s="102" t="str">
        <f t="shared" si="14"/>
        <v>Week 3</v>
      </c>
    </row>
    <row r="155" spans="2:9" ht="26.25" customHeight="1">
      <c r="B155" s="99">
        <v>46255</v>
      </c>
      <c r="C155" s="1" t="s">
        <v>38</v>
      </c>
      <c r="D155" s="2">
        <v>2</v>
      </c>
      <c r="E155" s="7">
        <v>35</v>
      </c>
      <c r="F155" s="7">
        <v>28</v>
      </c>
      <c r="G155" s="7">
        <f t="shared" si="12"/>
        <v>14</v>
      </c>
      <c r="H155" s="7" t="str">
        <f t="shared" si="13"/>
        <v>Friday</v>
      </c>
      <c r="I155" s="102" t="str">
        <f t="shared" si="14"/>
        <v>Week 3</v>
      </c>
    </row>
    <row r="156" spans="2:9" ht="26.25" customHeight="1">
      <c r="B156" s="99">
        <v>46255</v>
      </c>
      <c r="C156" s="8" t="s">
        <v>118</v>
      </c>
      <c r="D156" s="8">
        <v>1</v>
      </c>
      <c r="E156" s="7">
        <v>110</v>
      </c>
      <c r="F156" s="7">
        <v>89</v>
      </c>
      <c r="G156" s="7">
        <f t="shared" si="12"/>
        <v>21</v>
      </c>
      <c r="H156" s="7" t="str">
        <f t="shared" si="13"/>
        <v>Friday</v>
      </c>
      <c r="I156" s="102" t="str">
        <f t="shared" si="14"/>
        <v>Week 3</v>
      </c>
    </row>
    <row r="157" spans="2:9" ht="26.25" customHeight="1">
      <c r="B157" s="99">
        <v>46255</v>
      </c>
      <c r="C157" s="8" t="s">
        <v>59</v>
      </c>
      <c r="D157" s="8">
        <v>6</v>
      </c>
      <c r="E157" s="7">
        <v>10</v>
      </c>
      <c r="F157" s="7">
        <v>9.1</v>
      </c>
      <c r="G157" s="7">
        <f t="shared" si="12"/>
        <v>5.4000000000000021</v>
      </c>
      <c r="H157" s="7" t="str">
        <f t="shared" si="13"/>
        <v>Friday</v>
      </c>
      <c r="I157" s="102" t="str">
        <f t="shared" si="14"/>
        <v>Week 3</v>
      </c>
    </row>
    <row r="158" spans="2:9" ht="26.25" customHeight="1">
      <c r="B158" s="99">
        <v>46255</v>
      </c>
      <c r="C158" s="8" t="s">
        <v>119</v>
      </c>
      <c r="D158" s="8">
        <v>12</v>
      </c>
      <c r="E158" s="7">
        <v>25</v>
      </c>
      <c r="F158" s="7">
        <v>18</v>
      </c>
      <c r="G158" s="7">
        <f t="shared" si="12"/>
        <v>84</v>
      </c>
      <c r="H158" s="7" t="str">
        <f t="shared" si="13"/>
        <v>Friday</v>
      </c>
      <c r="I158" s="102" t="str">
        <f t="shared" si="14"/>
        <v>Week 3</v>
      </c>
    </row>
    <row r="159" spans="2:9" ht="26.25" customHeight="1">
      <c r="B159" s="99">
        <v>46256</v>
      </c>
      <c r="C159" s="8" t="s">
        <v>120</v>
      </c>
      <c r="D159" s="8">
        <v>3</v>
      </c>
      <c r="E159" s="7">
        <v>750</v>
      </c>
      <c r="F159" s="7">
        <v>660</v>
      </c>
      <c r="G159" s="7">
        <f>(E159-F159)*D159</f>
        <v>270</v>
      </c>
      <c r="H159" s="7" t="str">
        <f>TEXT(B159,"dddd")</f>
        <v>Saturday</v>
      </c>
      <c r="I159" s="102" t="str">
        <f>"Week " &amp; (INT((B159 - DATE(2026,8,3)) / 7) + 1)</f>
        <v>Week 3</v>
      </c>
    </row>
    <row r="160" spans="2:9" ht="26.25" customHeight="1">
      <c r="B160" s="99">
        <v>46256</v>
      </c>
      <c r="C160" s="8" t="s">
        <v>71</v>
      </c>
      <c r="D160" s="8">
        <v>6</v>
      </c>
      <c r="E160" s="7">
        <v>70</v>
      </c>
      <c r="F160" s="7">
        <v>54.5</v>
      </c>
      <c r="G160" s="7">
        <f t="shared" ref="G160:G166" si="15">(E160-F160)*D160</f>
        <v>93</v>
      </c>
      <c r="H160" s="7" t="str">
        <f t="shared" ref="H160:H166" si="16">TEXT(B160,"dddd")</f>
        <v>Saturday</v>
      </c>
      <c r="I160" s="102" t="str">
        <f t="shared" ref="I160:I166" si="17">"Week " &amp; (INT((B160 - DATE(2026,8,3)) / 7) + 1)</f>
        <v>Week 3</v>
      </c>
    </row>
    <row r="161" spans="2:9" ht="26.25" customHeight="1">
      <c r="B161" s="99">
        <v>46256</v>
      </c>
      <c r="C161" s="8" t="s">
        <v>84</v>
      </c>
      <c r="D161" s="8">
        <v>20</v>
      </c>
      <c r="E161" s="7">
        <v>10</v>
      </c>
      <c r="F161" s="7">
        <v>8</v>
      </c>
      <c r="G161" s="7">
        <f t="shared" si="15"/>
        <v>40</v>
      </c>
      <c r="H161" s="7" t="str">
        <f t="shared" si="16"/>
        <v>Saturday</v>
      </c>
      <c r="I161" s="102" t="str">
        <f t="shared" si="17"/>
        <v>Week 3</v>
      </c>
    </row>
    <row r="162" spans="2:9" ht="26.25" customHeight="1">
      <c r="B162" s="99">
        <v>46256</v>
      </c>
      <c r="C162" s="8" t="s">
        <v>121</v>
      </c>
      <c r="D162" s="8">
        <v>1</v>
      </c>
      <c r="E162" s="7">
        <v>1080</v>
      </c>
      <c r="F162" s="7">
        <v>870</v>
      </c>
      <c r="G162" s="7">
        <f t="shared" si="15"/>
        <v>210</v>
      </c>
      <c r="H162" s="7" t="str">
        <f t="shared" si="16"/>
        <v>Saturday</v>
      </c>
      <c r="I162" s="102" t="str">
        <f t="shared" si="17"/>
        <v>Week 3</v>
      </c>
    </row>
    <row r="163" spans="2:9" ht="26.25" customHeight="1">
      <c r="B163" s="99">
        <v>46256</v>
      </c>
      <c r="C163" s="8" t="s">
        <v>32</v>
      </c>
      <c r="D163" s="8">
        <v>8</v>
      </c>
      <c r="E163" s="7">
        <v>60</v>
      </c>
      <c r="F163" s="7">
        <v>38</v>
      </c>
      <c r="G163" s="7">
        <f t="shared" si="15"/>
        <v>176</v>
      </c>
      <c r="H163" s="7" t="str">
        <f t="shared" si="16"/>
        <v>Saturday</v>
      </c>
      <c r="I163" s="102" t="str">
        <f t="shared" si="17"/>
        <v>Week 3</v>
      </c>
    </row>
    <row r="164" spans="2:9" ht="26.25" customHeight="1">
      <c r="B164" s="99">
        <v>46256</v>
      </c>
      <c r="C164" s="8" t="s">
        <v>110</v>
      </c>
      <c r="D164" s="8">
        <v>1</v>
      </c>
      <c r="E164" s="7">
        <v>230</v>
      </c>
      <c r="F164" s="7">
        <v>176</v>
      </c>
      <c r="G164" s="7">
        <f t="shared" si="15"/>
        <v>54</v>
      </c>
      <c r="H164" s="7" t="str">
        <f t="shared" si="16"/>
        <v>Saturday</v>
      </c>
      <c r="I164" s="102" t="str">
        <f t="shared" si="17"/>
        <v>Week 3</v>
      </c>
    </row>
    <row r="165" spans="2:9" ht="26.25" customHeight="1">
      <c r="B165" s="99">
        <v>46256</v>
      </c>
      <c r="C165" s="8" t="s">
        <v>122</v>
      </c>
      <c r="D165" s="8">
        <v>1</v>
      </c>
      <c r="E165" s="7">
        <v>220</v>
      </c>
      <c r="F165" s="7">
        <v>160</v>
      </c>
      <c r="G165" s="7">
        <f t="shared" si="15"/>
        <v>60</v>
      </c>
      <c r="H165" s="7" t="str">
        <f t="shared" si="16"/>
        <v>Saturday</v>
      </c>
      <c r="I165" s="102" t="str">
        <f t="shared" si="17"/>
        <v>Week 3</v>
      </c>
    </row>
    <row r="166" spans="2:9" ht="26.25" customHeight="1">
      <c r="B166" s="99">
        <v>46257</v>
      </c>
      <c r="C166" s="8" t="s">
        <v>57</v>
      </c>
      <c r="D166" s="8">
        <v>1</v>
      </c>
      <c r="E166" s="7">
        <v>1300</v>
      </c>
      <c r="F166" s="7">
        <v>1172</v>
      </c>
      <c r="G166" s="7">
        <f t="shared" si="15"/>
        <v>128</v>
      </c>
      <c r="H166" s="7" t="str">
        <f t="shared" si="16"/>
        <v>Sunday</v>
      </c>
      <c r="I166" s="102" t="str">
        <f t="shared" si="17"/>
        <v>Week 3</v>
      </c>
    </row>
    <row r="167" spans="2:9" ht="26.25" customHeight="1">
      <c r="B167" s="99">
        <v>46257</v>
      </c>
      <c r="C167" s="8" t="s">
        <v>34</v>
      </c>
      <c r="D167" s="8">
        <v>4</v>
      </c>
      <c r="E167" s="7">
        <v>550</v>
      </c>
      <c r="F167" s="7">
        <v>525</v>
      </c>
      <c r="G167" s="7">
        <f t="shared" ref="G167:G173" si="18">(E167-F167)*D167</f>
        <v>100</v>
      </c>
      <c r="H167" s="7" t="str">
        <f t="shared" ref="H167:H173" si="19">TEXT(B167,"dddd")</f>
        <v>Sunday</v>
      </c>
      <c r="I167" s="102" t="str">
        <f t="shared" ref="I167:I173" si="20">"Week " &amp; (INT((B167 - DATE(2026,8,3)) / 7) + 1)</f>
        <v>Week 3</v>
      </c>
    </row>
    <row r="168" spans="2:9" ht="26.25" customHeight="1">
      <c r="B168" s="99">
        <v>46257</v>
      </c>
      <c r="C168" s="8" t="s">
        <v>98</v>
      </c>
      <c r="D168" s="8">
        <v>1</v>
      </c>
      <c r="E168" s="7">
        <v>380</v>
      </c>
      <c r="F168" s="7">
        <v>335</v>
      </c>
      <c r="G168" s="7">
        <f t="shared" si="18"/>
        <v>45</v>
      </c>
      <c r="H168" s="7" t="str">
        <f t="shared" si="19"/>
        <v>Sunday</v>
      </c>
      <c r="I168" s="102" t="str">
        <f t="shared" si="20"/>
        <v>Week 3</v>
      </c>
    </row>
    <row r="169" spans="2:9" ht="26.25" customHeight="1">
      <c r="B169" s="99">
        <v>46257</v>
      </c>
      <c r="C169" s="8" t="s">
        <v>99</v>
      </c>
      <c r="D169" s="8">
        <v>1</v>
      </c>
      <c r="E169" s="7">
        <v>50</v>
      </c>
      <c r="F169" s="7">
        <v>22</v>
      </c>
      <c r="G169" s="7">
        <f t="shared" si="18"/>
        <v>28</v>
      </c>
      <c r="H169" s="7" t="str">
        <f t="shared" si="19"/>
        <v>Sunday</v>
      </c>
      <c r="I169" s="102" t="str">
        <f t="shared" si="20"/>
        <v>Week 3</v>
      </c>
    </row>
    <row r="170" spans="2:9" ht="26.25" customHeight="1">
      <c r="B170" s="99">
        <v>46257</v>
      </c>
      <c r="C170" s="8" t="s">
        <v>123</v>
      </c>
      <c r="D170" s="8">
        <v>1</v>
      </c>
      <c r="E170" s="7">
        <v>90</v>
      </c>
      <c r="F170" s="7">
        <v>75</v>
      </c>
      <c r="G170" s="7">
        <f t="shared" si="18"/>
        <v>15</v>
      </c>
      <c r="H170" s="7" t="str">
        <f t="shared" si="19"/>
        <v>Sunday</v>
      </c>
      <c r="I170" s="102" t="str">
        <f t="shared" si="20"/>
        <v>Week 3</v>
      </c>
    </row>
    <row r="171" spans="2:9" ht="26.25" customHeight="1">
      <c r="B171" s="99">
        <v>46257</v>
      </c>
      <c r="C171" s="8" t="s">
        <v>117</v>
      </c>
      <c r="D171" s="8">
        <v>2</v>
      </c>
      <c r="E171" s="7">
        <v>160</v>
      </c>
      <c r="F171" s="7">
        <v>144</v>
      </c>
      <c r="G171" s="7">
        <f t="shared" si="18"/>
        <v>32</v>
      </c>
      <c r="H171" s="7" t="str">
        <f t="shared" si="19"/>
        <v>Sunday</v>
      </c>
      <c r="I171" s="102" t="str">
        <f t="shared" si="20"/>
        <v>Week 3</v>
      </c>
    </row>
    <row r="172" spans="2:9" ht="26.25" customHeight="1">
      <c r="B172" s="99">
        <v>46257</v>
      </c>
      <c r="C172" s="8" t="s">
        <v>118</v>
      </c>
      <c r="D172" s="8">
        <v>2</v>
      </c>
      <c r="E172" s="7">
        <v>110</v>
      </c>
      <c r="F172" s="7">
        <v>89</v>
      </c>
      <c r="G172" s="7">
        <f t="shared" si="18"/>
        <v>42</v>
      </c>
      <c r="H172" s="7" t="str">
        <f t="shared" si="19"/>
        <v>Sunday</v>
      </c>
      <c r="I172" s="102" t="str">
        <f t="shared" si="20"/>
        <v>Week 3</v>
      </c>
    </row>
    <row r="173" spans="2:9" ht="26.25" customHeight="1">
      <c r="B173" s="99">
        <v>46257</v>
      </c>
      <c r="C173" s="8" t="s">
        <v>79</v>
      </c>
      <c r="D173" s="8">
        <v>1</v>
      </c>
      <c r="E173" s="7">
        <v>165</v>
      </c>
      <c r="F173" s="7">
        <v>140</v>
      </c>
      <c r="G173" s="7">
        <f t="shared" si="18"/>
        <v>25</v>
      </c>
      <c r="H173" s="7" t="str">
        <f t="shared" si="19"/>
        <v>Sunday</v>
      </c>
      <c r="I173" s="102" t="str">
        <f t="shared" si="20"/>
        <v>Week 3</v>
      </c>
    </row>
    <row r="174" spans="2:9" ht="26.25" customHeight="1">
      <c r="B174" s="99">
        <v>46258</v>
      </c>
      <c r="C174" s="1" t="s">
        <v>124</v>
      </c>
      <c r="D174" s="8">
        <v>2</v>
      </c>
      <c r="E174" s="7">
        <v>540</v>
      </c>
      <c r="F174" s="7">
        <v>480</v>
      </c>
      <c r="G174" s="7">
        <f t="shared" ref="G174:G205" si="21">(E174-F174)*D174</f>
        <v>120</v>
      </c>
      <c r="H174" s="7" t="str">
        <f t="shared" ref="H174:H205" si="22">TEXT(B174,"dddd")</f>
        <v>Monday</v>
      </c>
      <c r="I174" s="102" t="str">
        <f t="shared" ref="I174:I205" si="23">"Week " &amp; (INT((B174 - DATE(2026,8,3)) / 7) + 1)</f>
        <v>Week 4</v>
      </c>
    </row>
    <row r="175" spans="2:9" ht="26.25" customHeight="1">
      <c r="B175" s="99">
        <v>46258</v>
      </c>
      <c r="C175" s="1" t="s">
        <v>90</v>
      </c>
      <c r="D175" s="8">
        <v>2</v>
      </c>
      <c r="E175" s="7">
        <v>40</v>
      </c>
      <c r="F175" s="7">
        <v>44.5</v>
      </c>
      <c r="G175" s="7">
        <f t="shared" si="21"/>
        <v>-9</v>
      </c>
      <c r="H175" s="7" t="str">
        <f t="shared" si="22"/>
        <v>Monday</v>
      </c>
      <c r="I175" s="102" t="str">
        <f t="shared" si="23"/>
        <v>Week 4</v>
      </c>
    </row>
    <row r="176" spans="2:9" ht="26.25" customHeight="1">
      <c r="B176" s="99">
        <v>46258</v>
      </c>
      <c r="C176" s="1" t="s">
        <v>125</v>
      </c>
      <c r="D176" s="8">
        <v>2</v>
      </c>
      <c r="E176" s="7">
        <v>25</v>
      </c>
      <c r="F176" s="7">
        <v>21</v>
      </c>
      <c r="G176" s="7">
        <f t="shared" si="21"/>
        <v>8</v>
      </c>
      <c r="H176" s="7" t="str">
        <f t="shared" si="22"/>
        <v>Monday</v>
      </c>
      <c r="I176" s="102" t="str">
        <f t="shared" si="23"/>
        <v>Week 4</v>
      </c>
    </row>
    <row r="177" spans="2:9" ht="26.25" customHeight="1">
      <c r="B177" s="99">
        <v>46258</v>
      </c>
      <c r="C177" s="1" t="s">
        <v>29</v>
      </c>
      <c r="D177" s="8">
        <v>1</v>
      </c>
      <c r="E177" s="7">
        <v>20</v>
      </c>
      <c r="F177" s="7">
        <v>14</v>
      </c>
      <c r="G177" s="7">
        <f t="shared" si="21"/>
        <v>6</v>
      </c>
      <c r="H177" s="7" t="str">
        <f t="shared" si="22"/>
        <v>Monday</v>
      </c>
      <c r="I177" s="102" t="str">
        <f t="shared" si="23"/>
        <v>Week 4</v>
      </c>
    </row>
    <row r="178" spans="2:9" ht="26.25" customHeight="1">
      <c r="B178" s="99">
        <v>46258</v>
      </c>
      <c r="C178" s="1" t="s">
        <v>76</v>
      </c>
      <c r="D178" s="8">
        <v>6</v>
      </c>
      <c r="E178" s="7">
        <v>180</v>
      </c>
      <c r="F178" s="7">
        <v>167</v>
      </c>
      <c r="G178" s="7">
        <f t="shared" si="21"/>
        <v>78</v>
      </c>
      <c r="H178" s="7" t="str">
        <f t="shared" si="22"/>
        <v>Monday</v>
      </c>
      <c r="I178" s="102" t="str">
        <f t="shared" si="23"/>
        <v>Week 4</v>
      </c>
    </row>
    <row r="179" spans="2:9" ht="26.25" customHeight="1">
      <c r="B179" s="99">
        <v>46258</v>
      </c>
      <c r="C179" s="1" t="s">
        <v>126</v>
      </c>
      <c r="D179" s="8">
        <v>12</v>
      </c>
      <c r="E179" s="7">
        <v>15</v>
      </c>
      <c r="F179" s="7">
        <v>12.5</v>
      </c>
      <c r="G179" s="7">
        <f t="shared" si="21"/>
        <v>30</v>
      </c>
      <c r="H179" s="7" t="str">
        <f t="shared" si="22"/>
        <v>Monday</v>
      </c>
      <c r="I179" s="102" t="str">
        <f t="shared" si="23"/>
        <v>Week 4</v>
      </c>
    </row>
    <row r="180" spans="2:9" ht="26.25" customHeight="1">
      <c r="B180" s="99">
        <v>46258</v>
      </c>
      <c r="C180" s="1" t="s">
        <v>106</v>
      </c>
      <c r="D180" s="8">
        <v>6</v>
      </c>
      <c r="E180" s="7">
        <v>10</v>
      </c>
      <c r="F180" s="7">
        <v>8.4</v>
      </c>
      <c r="G180" s="7">
        <f t="shared" si="21"/>
        <v>9.5999999999999979</v>
      </c>
      <c r="H180" s="7" t="str">
        <f t="shared" si="22"/>
        <v>Monday</v>
      </c>
      <c r="I180" s="102" t="str">
        <f t="shared" si="23"/>
        <v>Week 4</v>
      </c>
    </row>
    <row r="181" spans="2:9" ht="26.25" customHeight="1">
      <c r="B181" s="99">
        <v>46258</v>
      </c>
      <c r="C181" s="1" t="s">
        <v>127</v>
      </c>
      <c r="D181" s="8">
        <v>2</v>
      </c>
      <c r="E181" s="7">
        <v>40</v>
      </c>
      <c r="F181" s="7">
        <v>31</v>
      </c>
      <c r="G181" s="7">
        <f t="shared" si="21"/>
        <v>18</v>
      </c>
      <c r="H181" s="7" t="str">
        <f t="shared" si="22"/>
        <v>Monday</v>
      </c>
      <c r="I181" s="102" t="str">
        <f t="shared" si="23"/>
        <v>Week 4</v>
      </c>
    </row>
    <row r="182" spans="2:9" ht="26.25" customHeight="1">
      <c r="B182" s="99">
        <v>46259</v>
      </c>
      <c r="C182" s="1" t="s">
        <v>107</v>
      </c>
      <c r="D182" s="8">
        <v>1</v>
      </c>
      <c r="E182" s="7">
        <v>310</v>
      </c>
      <c r="F182" s="7">
        <v>269</v>
      </c>
      <c r="G182" s="7">
        <f t="shared" si="21"/>
        <v>41</v>
      </c>
      <c r="H182" s="7" t="str">
        <f t="shared" si="22"/>
        <v>Tuesday</v>
      </c>
      <c r="I182" s="102" t="str">
        <f t="shared" si="23"/>
        <v>Week 4</v>
      </c>
    </row>
    <row r="183" spans="2:9" ht="26.25" customHeight="1">
      <c r="B183" s="99">
        <v>46259</v>
      </c>
      <c r="C183" s="1" t="s">
        <v>128</v>
      </c>
      <c r="D183" s="8">
        <v>1</v>
      </c>
      <c r="E183" s="7">
        <v>60</v>
      </c>
      <c r="F183" s="7">
        <v>51</v>
      </c>
      <c r="G183" s="7">
        <f t="shared" si="21"/>
        <v>9</v>
      </c>
      <c r="H183" s="7" t="str">
        <f t="shared" si="22"/>
        <v>Tuesday</v>
      </c>
      <c r="I183" s="102" t="str">
        <f t="shared" si="23"/>
        <v>Week 4</v>
      </c>
    </row>
    <row r="184" spans="2:9" ht="26.25" customHeight="1">
      <c r="B184" s="99">
        <v>46259</v>
      </c>
      <c r="C184" s="1" t="s">
        <v>124</v>
      </c>
      <c r="D184" s="8">
        <v>1</v>
      </c>
      <c r="E184" s="7">
        <v>550</v>
      </c>
      <c r="F184" s="7">
        <v>480</v>
      </c>
      <c r="G184" s="7">
        <f t="shared" si="21"/>
        <v>70</v>
      </c>
      <c r="H184" s="7" t="str">
        <f t="shared" si="22"/>
        <v>Tuesday</v>
      </c>
      <c r="I184" s="102" t="str">
        <f t="shared" si="23"/>
        <v>Week 4</v>
      </c>
    </row>
    <row r="185" spans="2:9" ht="26.25" customHeight="1">
      <c r="B185" s="99">
        <v>46259</v>
      </c>
      <c r="C185" s="1" t="s">
        <v>41</v>
      </c>
      <c r="D185" s="8">
        <v>3</v>
      </c>
      <c r="E185" s="7">
        <v>325</v>
      </c>
      <c r="F185" s="7">
        <v>297</v>
      </c>
      <c r="G185" s="7">
        <f t="shared" si="21"/>
        <v>84</v>
      </c>
      <c r="H185" s="7" t="str">
        <f t="shared" si="22"/>
        <v>Tuesday</v>
      </c>
      <c r="I185" s="102" t="str">
        <f t="shared" si="23"/>
        <v>Week 4</v>
      </c>
    </row>
    <row r="186" spans="2:9" ht="26.25" customHeight="1">
      <c r="B186" s="99">
        <v>46259</v>
      </c>
      <c r="C186" s="1" t="s">
        <v>94</v>
      </c>
      <c r="D186" s="8">
        <v>6</v>
      </c>
      <c r="E186" s="7">
        <v>60</v>
      </c>
      <c r="F186" s="7">
        <v>51</v>
      </c>
      <c r="G186" s="7">
        <f t="shared" si="21"/>
        <v>54</v>
      </c>
      <c r="H186" s="7" t="str">
        <f t="shared" si="22"/>
        <v>Tuesday</v>
      </c>
      <c r="I186" s="102" t="str">
        <f t="shared" si="23"/>
        <v>Week 4</v>
      </c>
    </row>
    <row r="187" spans="2:9" ht="26.25" customHeight="1">
      <c r="B187" s="99">
        <v>46259</v>
      </c>
      <c r="C187" s="1" t="s">
        <v>93</v>
      </c>
      <c r="D187" s="8">
        <v>6</v>
      </c>
      <c r="E187" s="7">
        <v>170</v>
      </c>
      <c r="F187" s="7">
        <v>145</v>
      </c>
      <c r="G187" s="7">
        <f t="shared" si="21"/>
        <v>150</v>
      </c>
      <c r="H187" s="7" t="str">
        <f t="shared" si="22"/>
        <v>Tuesday</v>
      </c>
      <c r="I187" s="102" t="str">
        <f t="shared" si="23"/>
        <v>Week 4</v>
      </c>
    </row>
    <row r="188" spans="2:9" ht="26.25" customHeight="1">
      <c r="B188" s="99">
        <v>46259</v>
      </c>
      <c r="C188" s="1" t="s">
        <v>55</v>
      </c>
      <c r="D188" s="8">
        <v>1</v>
      </c>
      <c r="E188" s="7">
        <v>60</v>
      </c>
      <c r="F188" s="7">
        <v>47</v>
      </c>
      <c r="G188" s="7">
        <f t="shared" si="21"/>
        <v>13</v>
      </c>
      <c r="H188" s="7" t="str">
        <f t="shared" si="22"/>
        <v>Tuesday</v>
      </c>
      <c r="I188" s="102" t="str">
        <f t="shared" si="23"/>
        <v>Week 4</v>
      </c>
    </row>
    <row r="189" spans="2:9" ht="26.25" customHeight="1">
      <c r="B189" s="99">
        <v>46259</v>
      </c>
      <c r="C189" s="1" t="s">
        <v>103</v>
      </c>
      <c r="D189" s="8">
        <v>1</v>
      </c>
      <c r="E189" s="7">
        <v>1650</v>
      </c>
      <c r="F189" s="7">
        <v>1376</v>
      </c>
      <c r="G189" s="7">
        <f t="shared" si="21"/>
        <v>274</v>
      </c>
      <c r="H189" s="7" t="str">
        <f t="shared" si="22"/>
        <v>Tuesday</v>
      </c>
      <c r="I189" s="102" t="str">
        <f t="shared" si="23"/>
        <v>Week 4</v>
      </c>
    </row>
    <row r="190" spans="2:9" ht="26.25" customHeight="1">
      <c r="B190" s="99">
        <v>46259</v>
      </c>
      <c r="C190" s="1" t="s">
        <v>104</v>
      </c>
      <c r="D190" s="8">
        <v>4</v>
      </c>
      <c r="E190" s="7">
        <v>10</v>
      </c>
      <c r="F190" s="7">
        <v>8.3000000000000007</v>
      </c>
      <c r="G190" s="7">
        <f t="shared" si="21"/>
        <v>6.7999999999999972</v>
      </c>
      <c r="H190" s="7" t="str">
        <f t="shared" si="22"/>
        <v>Tuesday</v>
      </c>
      <c r="I190" s="102" t="str">
        <f t="shared" si="23"/>
        <v>Week 4</v>
      </c>
    </row>
    <row r="191" spans="2:9" ht="26.25" customHeight="1">
      <c r="B191" s="99">
        <v>46259</v>
      </c>
      <c r="C191" s="1" t="s">
        <v>129</v>
      </c>
      <c r="D191" s="8">
        <v>12</v>
      </c>
      <c r="E191" s="7">
        <v>10</v>
      </c>
      <c r="F191" s="7">
        <v>8</v>
      </c>
      <c r="G191" s="7">
        <f t="shared" si="21"/>
        <v>24</v>
      </c>
      <c r="H191" s="7" t="str">
        <f t="shared" si="22"/>
        <v>Tuesday</v>
      </c>
      <c r="I191" s="102" t="str">
        <f t="shared" si="23"/>
        <v>Week 4</v>
      </c>
    </row>
    <row r="192" spans="2:9" ht="26.25" customHeight="1">
      <c r="B192" s="99">
        <v>46259</v>
      </c>
      <c r="C192" s="1" t="s">
        <v>76</v>
      </c>
      <c r="D192" s="8">
        <v>2</v>
      </c>
      <c r="E192" s="7">
        <v>180</v>
      </c>
      <c r="F192" s="7">
        <v>163</v>
      </c>
      <c r="G192" s="7">
        <f t="shared" si="21"/>
        <v>34</v>
      </c>
      <c r="H192" s="7" t="str">
        <f t="shared" si="22"/>
        <v>Tuesday</v>
      </c>
      <c r="I192" s="102" t="str">
        <f t="shared" si="23"/>
        <v>Week 4</v>
      </c>
    </row>
    <row r="193" spans="2:9" ht="26.25" customHeight="1">
      <c r="B193" s="99">
        <v>46259</v>
      </c>
      <c r="C193" s="1" t="s">
        <v>32</v>
      </c>
      <c r="D193" s="8">
        <v>2</v>
      </c>
      <c r="E193" s="7">
        <v>50</v>
      </c>
      <c r="F193" s="7">
        <v>32</v>
      </c>
      <c r="G193" s="7">
        <f t="shared" si="21"/>
        <v>36</v>
      </c>
      <c r="H193" s="7" t="str">
        <f t="shared" si="22"/>
        <v>Tuesday</v>
      </c>
      <c r="I193" s="102" t="str">
        <f t="shared" si="23"/>
        <v>Week 4</v>
      </c>
    </row>
    <row r="194" spans="2:9" ht="26.25" customHeight="1">
      <c r="B194" s="99">
        <v>46260</v>
      </c>
      <c r="C194" s="1" t="s">
        <v>130</v>
      </c>
      <c r="D194" s="8">
        <v>1</v>
      </c>
      <c r="E194" s="7">
        <v>6800</v>
      </c>
      <c r="F194" s="7">
        <v>6350</v>
      </c>
      <c r="G194" s="7">
        <f t="shared" si="21"/>
        <v>450</v>
      </c>
      <c r="H194" s="7" t="str">
        <f t="shared" si="22"/>
        <v>Wednesday</v>
      </c>
      <c r="I194" s="102" t="str">
        <f t="shared" si="23"/>
        <v>Week 4</v>
      </c>
    </row>
    <row r="195" spans="2:9" ht="26.25" customHeight="1">
      <c r="B195" s="99">
        <v>46260</v>
      </c>
      <c r="C195" s="1" t="s">
        <v>76</v>
      </c>
      <c r="D195" s="8">
        <v>20</v>
      </c>
      <c r="E195" s="7">
        <v>175</v>
      </c>
      <c r="F195" s="7">
        <v>167</v>
      </c>
      <c r="G195" s="7">
        <f t="shared" si="21"/>
        <v>160</v>
      </c>
      <c r="H195" s="7" t="str">
        <f t="shared" si="22"/>
        <v>Wednesday</v>
      </c>
      <c r="I195" s="102" t="str">
        <f t="shared" si="23"/>
        <v>Week 4</v>
      </c>
    </row>
    <row r="196" spans="2:9" ht="26.25" customHeight="1">
      <c r="B196" s="99">
        <v>46260</v>
      </c>
      <c r="C196" s="1" t="s">
        <v>106</v>
      </c>
      <c r="D196" s="8">
        <v>20</v>
      </c>
      <c r="E196" s="7">
        <v>14</v>
      </c>
      <c r="F196" s="7">
        <v>12.5</v>
      </c>
      <c r="G196" s="7">
        <f t="shared" si="21"/>
        <v>30</v>
      </c>
      <c r="H196" s="7" t="str">
        <f t="shared" si="22"/>
        <v>Wednesday</v>
      </c>
      <c r="I196" s="102" t="str">
        <f t="shared" si="23"/>
        <v>Week 4</v>
      </c>
    </row>
    <row r="197" spans="2:9" ht="26.25" customHeight="1">
      <c r="B197" s="99">
        <v>46260</v>
      </c>
      <c r="C197" s="1" t="s">
        <v>90</v>
      </c>
      <c r="D197" s="8">
        <v>2</v>
      </c>
      <c r="E197" s="7">
        <v>40</v>
      </c>
      <c r="F197" s="7">
        <v>33.5</v>
      </c>
      <c r="G197" s="7">
        <f t="shared" si="21"/>
        <v>13</v>
      </c>
      <c r="H197" s="7" t="str">
        <f t="shared" si="22"/>
        <v>Wednesday</v>
      </c>
      <c r="I197" s="102" t="str">
        <f t="shared" si="23"/>
        <v>Week 4</v>
      </c>
    </row>
    <row r="198" spans="2:9" ht="26.25" customHeight="1">
      <c r="B198" s="99">
        <v>46260</v>
      </c>
      <c r="C198" s="1" t="s">
        <v>125</v>
      </c>
      <c r="D198" s="8">
        <v>2</v>
      </c>
      <c r="E198" s="7">
        <v>25</v>
      </c>
      <c r="F198" s="7">
        <v>21</v>
      </c>
      <c r="G198" s="7">
        <f t="shared" si="21"/>
        <v>8</v>
      </c>
      <c r="H198" s="7" t="str">
        <f t="shared" si="22"/>
        <v>Wednesday</v>
      </c>
      <c r="I198" s="102" t="str">
        <f t="shared" si="23"/>
        <v>Week 4</v>
      </c>
    </row>
    <row r="199" spans="2:9" ht="26.25" customHeight="1">
      <c r="B199" s="99">
        <v>46260</v>
      </c>
      <c r="C199" s="1" t="s">
        <v>77</v>
      </c>
      <c r="D199" s="8">
        <v>8</v>
      </c>
      <c r="E199" s="7">
        <v>15</v>
      </c>
      <c r="F199" s="7">
        <v>12.5</v>
      </c>
      <c r="G199" s="7">
        <f t="shared" si="21"/>
        <v>20</v>
      </c>
      <c r="H199" s="7" t="str">
        <f t="shared" si="22"/>
        <v>Wednesday</v>
      </c>
      <c r="I199" s="102" t="str">
        <f t="shared" si="23"/>
        <v>Week 4</v>
      </c>
    </row>
    <row r="200" spans="2:9" ht="26.25" customHeight="1">
      <c r="B200" s="99">
        <v>46260</v>
      </c>
      <c r="C200" s="1" t="s">
        <v>128</v>
      </c>
      <c r="D200" s="8">
        <v>3</v>
      </c>
      <c r="E200" s="7">
        <v>60</v>
      </c>
      <c r="F200" s="7">
        <v>48</v>
      </c>
      <c r="G200" s="7">
        <f t="shared" si="21"/>
        <v>36</v>
      </c>
      <c r="H200" s="7" t="str">
        <f t="shared" si="22"/>
        <v>Wednesday</v>
      </c>
      <c r="I200" s="102" t="str">
        <f t="shared" si="23"/>
        <v>Week 4</v>
      </c>
    </row>
    <row r="201" spans="2:9" ht="26.25" customHeight="1">
      <c r="B201" s="99">
        <v>46260</v>
      </c>
      <c r="C201" s="1" t="s">
        <v>107</v>
      </c>
      <c r="D201" s="8">
        <v>1</v>
      </c>
      <c r="E201" s="7">
        <v>300</v>
      </c>
      <c r="F201" s="7">
        <v>269</v>
      </c>
      <c r="G201" s="7">
        <f t="shared" si="21"/>
        <v>31</v>
      </c>
      <c r="H201" s="7" t="str">
        <f t="shared" si="22"/>
        <v>Wednesday</v>
      </c>
      <c r="I201" s="102" t="str">
        <f t="shared" si="23"/>
        <v>Week 4</v>
      </c>
    </row>
    <row r="202" spans="2:9" ht="26.25" customHeight="1">
      <c r="B202" s="99">
        <v>46260</v>
      </c>
      <c r="C202" s="1" t="s">
        <v>100</v>
      </c>
      <c r="D202" s="8">
        <v>4</v>
      </c>
      <c r="E202" s="7">
        <v>110</v>
      </c>
      <c r="F202" s="7">
        <v>88</v>
      </c>
      <c r="G202" s="7">
        <f t="shared" si="21"/>
        <v>88</v>
      </c>
      <c r="H202" s="1" t="str">
        <f t="shared" si="22"/>
        <v>Wednesday</v>
      </c>
      <c r="I202" s="102" t="str">
        <f t="shared" si="23"/>
        <v>Week 4</v>
      </c>
    </row>
    <row r="203" spans="2:9" ht="26.25" customHeight="1">
      <c r="B203" s="99">
        <v>46260</v>
      </c>
      <c r="C203" s="1" t="s">
        <v>131</v>
      </c>
      <c r="D203" s="8">
        <v>50</v>
      </c>
      <c r="E203" s="7">
        <v>10</v>
      </c>
      <c r="F203" s="7">
        <v>8.3000000000000007</v>
      </c>
      <c r="G203" s="7">
        <f t="shared" si="21"/>
        <v>84.999999999999972</v>
      </c>
      <c r="H203" s="1" t="str">
        <f t="shared" si="22"/>
        <v>Wednesday</v>
      </c>
      <c r="I203" s="102" t="str">
        <f t="shared" si="23"/>
        <v>Week 4</v>
      </c>
    </row>
    <row r="204" spans="2:9" ht="26.25" customHeight="1">
      <c r="B204" s="99">
        <v>46260</v>
      </c>
      <c r="C204" s="1" t="s">
        <v>32</v>
      </c>
      <c r="D204" s="8">
        <v>2</v>
      </c>
      <c r="E204" s="7">
        <v>60</v>
      </c>
      <c r="F204" s="7">
        <v>42</v>
      </c>
      <c r="G204" s="7">
        <f t="shared" si="21"/>
        <v>36</v>
      </c>
      <c r="H204" s="1" t="str">
        <f t="shared" si="22"/>
        <v>Wednesday</v>
      </c>
      <c r="I204" s="102" t="str">
        <f t="shared" si="23"/>
        <v>Week 4</v>
      </c>
    </row>
    <row r="205" spans="2:9" ht="26.25" customHeight="1">
      <c r="B205" s="99">
        <v>46261</v>
      </c>
      <c r="C205" s="1" t="s">
        <v>132</v>
      </c>
      <c r="D205" s="8">
        <v>2</v>
      </c>
      <c r="E205" s="7">
        <v>50</v>
      </c>
      <c r="F205" s="7">
        <v>37</v>
      </c>
      <c r="G205" s="7">
        <f t="shared" si="21"/>
        <v>26</v>
      </c>
      <c r="H205" s="1" t="str">
        <f t="shared" si="22"/>
        <v>Thursday</v>
      </c>
      <c r="I205" s="102" t="str">
        <f t="shared" si="23"/>
        <v>Week 4</v>
      </c>
    </row>
    <row r="206" spans="2:9" ht="26.25" customHeight="1">
      <c r="B206" s="99">
        <v>46261</v>
      </c>
      <c r="C206" s="1" t="s">
        <v>59</v>
      </c>
      <c r="D206" s="8">
        <v>3</v>
      </c>
      <c r="E206" s="7">
        <v>110</v>
      </c>
      <c r="F206" s="7">
        <v>90</v>
      </c>
      <c r="G206" s="7">
        <f t="shared" ref="G206:G237" si="24">(E206-F206)*D206</f>
        <v>60</v>
      </c>
      <c r="H206" s="1" t="str">
        <f t="shared" ref="H206:H237" si="25">TEXT(B206,"dddd")</f>
        <v>Thursday</v>
      </c>
      <c r="I206" s="102" t="str">
        <f t="shared" ref="I206:I237" si="26">"Week " &amp; (INT((B206 - DATE(2026,8,3)) / 7) + 1)</f>
        <v>Week 4</v>
      </c>
    </row>
    <row r="207" spans="2:9" ht="26.25" customHeight="1">
      <c r="B207" s="99">
        <v>46261</v>
      </c>
      <c r="C207" s="1" t="s">
        <v>39</v>
      </c>
      <c r="D207" s="8">
        <v>5</v>
      </c>
      <c r="E207" s="7">
        <v>10</v>
      </c>
      <c r="F207" s="7">
        <v>9.1</v>
      </c>
      <c r="G207" s="7">
        <f t="shared" si="24"/>
        <v>4.5000000000000018</v>
      </c>
      <c r="H207" s="1" t="str">
        <f t="shared" si="25"/>
        <v>Thursday</v>
      </c>
      <c r="I207" s="102" t="str">
        <f t="shared" si="26"/>
        <v>Week 4</v>
      </c>
    </row>
    <row r="208" spans="2:9" ht="26.25" customHeight="1">
      <c r="B208" s="99">
        <v>46261</v>
      </c>
      <c r="C208" s="1" t="s">
        <v>41</v>
      </c>
      <c r="D208" s="8">
        <v>1</v>
      </c>
      <c r="E208" s="7">
        <v>325</v>
      </c>
      <c r="F208" s="7">
        <v>297</v>
      </c>
      <c r="G208" s="7">
        <f t="shared" si="24"/>
        <v>28</v>
      </c>
      <c r="H208" s="1" t="str">
        <f t="shared" si="25"/>
        <v>Thursday</v>
      </c>
      <c r="I208" s="102" t="str">
        <f t="shared" si="26"/>
        <v>Week 4</v>
      </c>
    </row>
    <row r="209" spans="2:9" ht="26.25" customHeight="1">
      <c r="B209" s="99">
        <v>46261</v>
      </c>
      <c r="C209" s="1" t="s">
        <v>42</v>
      </c>
      <c r="D209" s="8">
        <v>1</v>
      </c>
      <c r="E209" s="7">
        <v>90</v>
      </c>
      <c r="F209" s="7">
        <v>78</v>
      </c>
      <c r="G209" s="7">
        <f t="shared" si="24"/>
        <v>12</v>
      </c>
      <c r="H209" s="1" t="str">
        <f t="shared" si="25"/>
        <v>Thursday</v>
      </c>
      <c r="I209" s="102" t="str">
        <f t="shared" si="26"/>
        <v>Week 4</v>
      </c>
    </row>
    <row r="210" spans="2:9" ht="26.25" customHeight="1">
      <c r="B210" s="99">
        <v>46261</v>
      </c>
      <c r="C210" s="1" t="s">
        <v>29</v>
      </c>
      <c r="D210" s="8">
        <v>1</v>
      </c>
      <c r="E210" s="7">
        <v>20</v>
      </c>
      <c r="F210" s="7">
        <v>14</v>
      </c>
      <c r="G210" s="7">
        <f t="shared" si="24"/>
        <v>6</v>
      </c>
      <c r="H210" s="1" t="str">
        <f t="shared" si="25"/>
        <v>Thursday</v>
      </c>
      <c r="I210" s="102" t="str">
        <f t="shared" si="26"/>
        <v>Week 4</v>
      </c>
    </row>
    <row r="211" spans="2:9" ht="26.25" customHeight="1">
      <c r="B211" s="99">
        <v>46261</v>
      </c>
      <c r="C211" s="1" t="s">
        <v>70</v>
      </c>
      <c r="D211" s="8">
        <v>2</v>
      </c>
      <c r="E211" s="7">
        <v>360</v>
      </c>
      <c r="F211" s="7">
        <v>332</v>
      </c>
      <c r="G211" s="7">
        <f t="shared" si="24"/>
        <v>56</v>
      </c>
      <c r="H211" s="1" t="str">
        <f t="shared" si="25"/>
        <v>Thursday</v>
      </c>
      <c r="I211" s="102" t="str">
        <f t="shared" si="26"/>
        <v>Week 4</v>
      </c>
    </row>
    <row r="212" spans="2:9" ht="26.25" customHeight="1">
      <c r="B212" s="99">
        <v>46262</v>
      </c>
      <c r="C212" s="1" t="s">
        <v>76</v>
      </c>
      <c r="D212" s="8">
        <v>5</v>
      </c>
      <c r="E212" s="7">
        <v>185</v>
      </c>
      <c r="F212" s="7">
        <v>164</v>
      </c>
      <c r="G212" s="7">
        <f t="shared" si="24"/>
        <v>105</v>
      </c>
      <c r="H212" s="1" t="str">
        <f t="shared" si="25"/>
        <v>Friday</v>
      </c>
      <c r="I212" s="102" t="str">
        <f t="shared" si="26"/>
        <v>Week 4</v>
      </c>
    </row>
    <row r="213" spans="2:9" ht="26.25" customHeight="1">
      <c r="B213" s="99">
        <v>46262</v>
      </c>
      <c r="C213" s="1" t="s">
        <v>77</v>
      </c>
      <c r="D213" s="8">
        <v>12</v>
      </c>
      <c r="E213" s="7">
        <v>15</v>
      </c>
      <c r="F213" s="7">
        <v>12.5</v>
      </c>
      <c r="G213" s="7">
        <f t="shared" si="24"/>
        <v>30</v>
      </c>
      <c r="H213" s="1" t="str">
        <f t="shared" si="25"/>
        <v>Friday</v>
      </c>
      <c r="I213" s="102" t="str">
        <f t="shared" si="26"/>
        <v>Week 4</v>
      </c>
    </row>
    <row r="214" spans="2:9" ht="26.25" customHeight="1">
      <c r="B214" s="99">
        <v>46262</v>
      </c>
      <c r="C214" s="1" t="s">
        <v>133</v>
      </c>
      <c r="D214" s="8">
        <v>1</v>
      </c>
      <c r="E214" s="7">
        <v>530</v>
      </c>
      <c r="F214" s="7">
        <v>466</v>
      </c>
      <c r="G214" s="7">
        <f t="shared" si="24"/>
        <v>64</v>
      </c>
      <c r="H214" s="1" t="str">
        <f t="shared" si="25"/>
        <v>Friday</v>
      </c>
      <c r="I214" s="102" t="str">
        <f t="shared" si="26"/>
        <v>Week 4</v>
      </c>
    </row>
    <row r="215" spans="2:9" ht="26.25" customHeight="1">
      <c r="B215" s="99">
        <v>46262</v>
      </c>
      <c r="C215" s="1" t="s">
        <v>134</v>
      </c>
      <c r="D215" s="8">
        <v>1</v>
      </c>
      <c r="E215" s="7">
        <v>125</v>
      </c>
      <c r="F215" s="7">
        <v>99</v>
      </c>
      <c r="G215" s="7">
        <f t="shared" si="24"/>
        <v>26</v>
      </c>
      <c r="H215" s="1" t="str">
        <f t="shared" si="25"/>
        <v>Friday</v>
      </c>
      <c r="I215" s="102" t="str">
        <f t="shared" si="26"/>
        <v>Week 4</v>
      </c>
    </row>
    <row r="216" spans="2:9" ht="26.25" customHeight="1">
      <c r="B216" s="99">
        <v>46262</v>
      </c>
      <c r="C216" s="1" t="s">
        <v>100</v>
      </c>
      <c r="D216" s="8">
        <v>1</v>
      </c>
      <c r="E216" s="7">
        <v>110</v>
      </c>
      <c r="F216" s="7">
        <v>88</v>
      </c>
      <c r="G216" s="7">
        <f t="shared" si="24"/>
        <v>22</v>
      </c>
      <c r="H216" s="1" t="str">
        <f t="shared" si="25"/>
        <v>Friday</v>
      </c>
      <c r="I216" s="102" t="str">
        <f t="shared" si="26"/>
        <v>Week 4</v>
      </c>
    </row>
    <row r="217" spans="2:9" ht="26.25" customHeight="1">
      <c r="B217" s="99">
        <v>46262</v>
      </c>
      <c r="C217" s="1" t="s">
        <v>41</v>
      </c>
      <c r="D217" s="8">
        <v>2</v>
      </c>
      <c r="E217" s="7">
        <v>325</v>
      </c>
      <c r="F217" s="7">
        <v>297</v>
      </c>
      <c r="G217" s="7">
        <f t="shared" si="24"/>
        <v>56</v>
      </c>
      <c r="H217" s="1" t="str">
        <f t="shared" si="25"/>
        <v>Friday</v>
      </c>
      <c r="I217" s="102" t="str">
        <f t="shared" si="26"/>
        <v>Week 4</v>
      </c>
    </row>
    <row r="218" spans="2:9" ht="26.25" customHeight="1">
      <c r="B218" s="99">
        <v>46262</v>
      </c>
      <c r="C218" s="1" t="s">
        <v>93</v>
      </c>
      <c r="D218" s="8">
        <v>2</v>
      </c>
      <c r="E218" s="7">
        <v>170</v>
      </c>
      <c r="F218" s="7">
        <v>145</v>
      </c>
      <c r="G218" s="7">
        <f t="shared" si="24"/>
        <v>50</v>
      </c>
      <c r="H218" s="1" t="str">
        <f t="shared" si="25"/>
        <v>Friday</v>
      </c>
      <c r="I218" s="102" t="str">
        <f t="shared" si="26"/>
        <v>Week 4</v>
      </c>
    </row>
    <row r="219" spans="2:9" ht="26.25" customHeight="1">
      <c r="B219" s="99">
        <v>46262</v>
      </c>
      <c r="C219" s="1" t="s">
        <v>94</v>
      </c>
      <c r="D219" s="8">
        <v>2</v>
      </c>
      <c r="E219" s="7">
        <v>60</v>
      </c>
      <c r="F219" s="7">
        <v>51</v>
      </c>
      <c r="G219" s="7">
        <f t="shared" si="24"/>
        <v>18</v>
      </c>
      <c r="H219" s="1" t="str">
        <f t="shared" si="25"/>
        <v>Friday</v>
      </c>
      <c r="I219" s="102" t="str">
        <f t="shared" si="26"/>
        <v>Week 4</v>
      </c>
    </row>
    <row r="220" spans="2:9" ht="26.25" customHeight="1">
      <c r="B220" s="99">
        <v>46262</v>
      </c>
      <c r="C220" s="1" t="s">
        <v>95</v>
      </c>
      <c r="D220" s="8">
        <v>2</v>
      </c>
      <c r="E220" s="7">
        <v>30</v>
      </c>
      <c r="F220" s="7">
        <v>23</v>
      </c>
      <c r="G220" s="7">
        <f t="shared" si="24"/>
        <v>14</v>
      </c>
      <c r="H220" s="1" t="str">
        <f t="shared" si="25"/>
        <v>Friday</v>
      </c>
      <c r="I220" s="102" t="str">
        <f t="shared" si="26"/>
        <v>Week 4</v>
      </c>
    </row>
    <row r="221" spans="2:9" ht="26.25" customHeight="1">
      <c r="B221" s="99">
        <v>46262</v>
      </c>
      <c r="C221" s="1" t="s">
        <v>127</v>
      </c>
      <c r="D221" s="8">
        <v>1</v>
      </c>
      <c r="E221" s="7">
        <v>60</v>
      </c>
      <c r="F221" s="7">
        <v>51</v>
      </c>
      <c r="G221" s="7">
        <f t="shared" si="24"/>
        <v>9</v>
      </c>
      <c r="H221" s="1" t="str">
        <f t="shared" si="25"/>
        <v>Friday</v>
      </c>
      <c r="I221" s="102" t="str">
        <f t="shared" si="26"/>
        <v>Week 4</v>
      </c>
    </row>
    <row r="222" spans="2:9" ht="26.25" customHeight="1">
      <c r="B222" s="99">
        <v>46263</v>
      </c>
      <c r="C222" s="1" t="s">
        <v>25</v>
      </c>
      <c r="D222" s="8">
        <v>15</v>
      </c>
      <c r="E222" s="7">
        <v>270</v>
      </c>
      <c r="F222" s="7">
        <v>253</v>
      </c>
      <c r="G222" s="7">
        <f t="shared" si="24"/>
        <v>255</v>
      </c>
      <c r="H222" s="1" t="str">
        <f t="shared" si="25"/>
        <v>Saturday</v>
      </c>
      <c r="I222" s="102" t="str">
        <f t="shared" si="26"/>
        <v>Week 4</v>
      </c>
    </row>
    <row r="223" spans="2:9" ht="26.25" customHeight="1">
      <c r="B223" s="99">
        <v>46263</v>
      </c>
      <c r="C223" s="1" t="s">
        <v>54</v>
      </c>
      <c r="D223" s="8">
        <v>15</v>
      </c>
      <c r="E223" s="7">
        <v>22</v>
      </c>
      <c r="F223" s="7">
        <v>19.5</v>
      </c>
      <c r="G223" s="7">
        <f t="shared" si="24"/>
        <v>37.5</v>
      </c>
      <c r="H223" s="1" t="str">
        <f t="shared" si="25"/>
        <v>Saturday</v>
      </c>
      <c r="I223" s="102" t="str">
        <f t="shared" si="26"/>
        <v>Week 4</v>
      </c>
    </row>
    <row r="224" spans="2:9" ht="26.25" customHeight="1">
      <c r="B224" s="99">
        <v>46263</v>
      </c>
      <c r="C224" s="1" t="s">
        <v>53</v>
      </c>
      <c r="D224" s="8">
        <v>32</v>
      </c>
      <c r="E224" s="7">
        <v>30</v>
      </c>
      <c r="F224" s="7">
        <v>26</v>
      </c>
      <c r="G224" s="7">
        <f t="shared" si="24"/>
        <v>128</v>
      </c>
      <c r="H224" s="1" t="str">
        <f t="shared" si="25"/>
        <v>Saturday</v>
      </c>
      <c r="I224" s="102" t="str">
        <f t="shared" si="26"/>
        <v>Week 4</v>
      </c>
    </row>
    <row r="225" spans="2:9" ht="26.25" customHeight="1">
      <c r="B225" s="99">
        <v>46263</v>
      </c>
      <c r="C225" s="1" t="s">
        <v>135</v>
      </c>
      <c r="D225" s="8">
        <v>2</v>
      </c>
      <c r="E225" s="7">
        <v>45</v>
      </c>
      <c r="F225" s="7">
        <v>38</v>
      </c>
      <c r="G225" s="7">
        <f t="shared" si="24"/>
        <v>14</v>
      </c>
      <c r="H225" s="1" t="str">
        <f t="shared" si="25"/>
        <v>Saturday</v>
      </c>
      <c r="I225" s="102" t="str">
        <f t="shared" si="26"/>
        <v>Week 4</v>
      </c>
    </row>
    <row r="226" spans="2:9" ht="26.25" customHeight="1">
      <c r="B226" s="99">
        <v>46263</v>
      </c>
      <c r="C226" s="1" t="s">
        <v>136</v>
      </c>
      <c r="D226" s="8">
        <v>2</v>
      </c>
      <c r="E226" s="7">
        <v>40</v>
      </c>
      <c r="F226" s="7">
        <v>36</v>
      </c>
      <c r="G226" s="7">
        <f t="shared" si="24"/>
        <v>8</v>
      </c>
      <c r="H226" s="1" t="str">
        <f t="shared" si="25"/>
        <v>Saturday</v>
      </c>
      <c r="I226" s="102" t="str">
        <f t="shared" si="26"/>
        <v>Week 4</v>
      </c>
    </row>
    <row r="227" spans="2:9" ht="26.25" customHeight="1">
      <c r="B227" s="99">
        <v>46263</v>
      </c>
      <c r="C227" s="1" t="s">
        <v>137</v>
      </c>
      <c r="D227" s="8">
        <v>2</v>
      </c>
      <c r="E227" s="7">
        <v>36</v>
      </c>
      <c r="F227" s="7">
        <v>29</v>
      </c>
      <c r="G227" s="7">
        <f t="shared" si="24"/>
        <v>14</v>
      </c>
      <c r="H227" s="1" t="str">
        <f t="shared" si="25"/>
        <v>Saturday</v>
      </c>
      <c r="I227" s="102" t="str">
        <f t="shared" si="26"/>
        <v>Week 4</v>
      </c>
    </row>
    <row r="228" spans="2:9" ht="26.25" customHeight="1">
      <c r="B228" s="99">
        <v>46263</v>
      </c>
      <c r="C228" s="1" t="s">
        <v>138</v>
      </c>
      <c r="D228" s="8">
        <v>6</v>
      </c>
      <c r="E228" s="7">
        <v>120</v>
      </c>
      <c r="F228" s="7">
        <v>89</v>
      </c>
      <c r="G228" s="7">
        <f t="shared" si="24"/>
        <v>186</v>
      </c>
      <c r="H228" s="1" t="str">
        <f t="shared" si="25"/>
        <v>Saturday</v>
      </c>
      <c r="I228" s="102" t="str">
        <f t="shared" si="26"/>
        <v>Week 4</v>
      </c>
    </row>
    <row r="229" spans="2:9" ht="26.25" customHeight="1">
      <c r="B229" s="99">
        <v>46263</v>
      </c>
      <c r="C229" s="1" t="s">
        <v>139</v>
      </c>
      <c r="D229" s="8">
        <v>4</v>
      </c>
      <c r="E229" s="7">
        <v>135</v>
      </c>
      <c r="F229" s="7">
        <v>110</v>
      </c>
      <c r="G229" s="7">
        <f t="shared" si="24"/>
        <v>100</v>
      </c>
      <c r="H229" s="1" t="str">
        <f t="shared" si="25"/>
        <v>Saturday</v>
      </c>
      <c r="I229" s="102" t="str">
        <f t="shared" si="26"/>
        <v>Week 4</v>
      </c>
    </row>
    <row r="230" spans="2:9" ht="26.25" customHeight="1">
      <c r="B230" s="99">
        <v>46263</v>
      </c>
      <c r="C230" s="1" t="s">
        <v>100</v>
      </c>
      <c r="D230" s="8">
        <v>4</v>
      </c>
      <c r="E230" s="7">
        <v>110</v>
      </c>
      <c r="F230" s="7">
        <v>89</v>
      </c>
      <c r="G230" s="7">
        <f t="shared" si="24"/>
        <v>84</v>
      </c>
      <c r="H230" s="1" t="str">
        <f t="shared" si="25"/>
        <v>Saturday</v>
      </c>
      <c r="I230" s="102" t="str">
        <f t="shared" si="26"/>
        <v>Week 4</v>
      </c>
    </row>
    <row r="231" spans="2:9" ht="26.25" customHeight="1">
      <c r="B231" s="99">
        <v>46263</v>
      </c>
      <c r="C231" s="1" t="s">
        <v>85</v>
      </c>
      <c r="D231" s="8">
        <v>20</v>
      </c>
      <c r="E231" s="7">
        <v>10</v>
      </c>
      <c r="F231" s="7">
        <v>4.5</v>
      </c>
      <c r="G231" s="7">
        <f t="shared" si="24"/>
        <v>110</v>
      </c>
      <c r="H231" s="1" t="str">
        <f t="shared" si="25"/>
        <v>Saturday</v>
      </c>
      <c r="I231" s="102" t="str">
        <f t="shared" si="26"/>
        <v>Week 4</v>
      </c>
    </row>
    <row r="232" spans="2:9" ht="26.25" customHeight="1">
      <c r="B232" s="99">
        <v>46264</v>
      </c>
      <c r="C232" s="1" t="s">
        <v>34</v>
      </c>
      <c r="D232" s="8">
        <v>3</v>
      </c>
      <c r="E232" s="7">
        <v>570</v>
      </c>
      <c r="F232" s="7">
        <v>523</v>
      </c>
      <c r="G232" s="7">
        <f t="shared" si="24"/>
        <v>141</v>
      </c>
      <c r="H232" s="1" t="str">
        <f t="shared" si="25"/>
        <v>Sunday</v>
      </c>
      <c r="I232" s="102" t="str">
        <f t="shared" si="26"/>
        <v>Week 4</v>
      </c>
    </row>
    <row r="233" spans="2:9" ht="26.25" customHeight="1">
      <c r="B233" s="99">
        <v>46264</v>
      </c>
      <c r="C233" s="1" t="s">
        <v>36</v>
      </c>
      <c r="D233" s="8">
        <v>6</v>
      </c>
      <c r="E233" s="7">
        <v>110</v>
      </c>
      <c r="F233" s="7">
        <v>89</v>
      </c>
      <c r="G233" s="7">
        <f t="shared" si="24"/>
        <v>126</v>
      </c>
      <c r="H233" s="1" t="str">
        <f t="shared" si="25"/>
        <v>Sunday</v>
      </c>
      <c r="I233" s="102" t="str">
        <f t="shared" si="26"/>
        <v>Week 4</v>
      </c>
    </row>
    <row r="234" spans="2:9" ht="26.25" customHeight="1">
      <c r="B234" s="99">
        <v>46264</v>
      </c>
      <c r="C234" s="1" t="s">
        <v>37</v>
      </c>
      <c r="D234" s="8">
        <v>3</v>
      </c>
      <c r="E234" s="7">
        <v>190</v>
      </c>
      <c r="F234" s="7">
        <v>164</v>
      </c>
      <c r="G234" s="7">
        <f t="shared" si="24"/>
        <v>78</v>
      </c>
      <c r="H234" s="1" t="str">
        <f t="shared" si="25"/>
        <v>Sunday</v>
      </c>
      <c r="I234" s="102" t="str">
        <f t="shared" si="26"/>
        <v>Week 4</v>
      </c>
    </row>
    <row r="235" spans="2:9" ht="26.25" customHeight="1">
      <c r="B235" s="99">
        <v>46264</v>
      </c>
      <c r="C235" s="1" t="s">
        <v>38</v>
      </c>
      <c r="D235" s="8">
        <v>1</v>
      </c>
      <c r="E235" s="7">
        <v>110</v>
      </c>
      <c r="F235" s="7">
        <v>98</v>
      </c>
      <c r="G235" s="7">
        <f t="shared" si="24"/>
        <v>12</v>
      </c>
      <c r="H235" s="1" t="str">
        <f t="shared" si="25"/>
        <v>Sunday</v>
      </c>
      <c r="I235" s="102" t="str">
        <f t="shared" si="26"/>
        <v>Week 4</v>
      </c>
    </row>
    <row r="236" spans="2:9" ht="26.25" customHeight="1">
      <c r="B236" s="99">
        <v>46264</v>
      </c>
      <c r="C236" s="1" t="s">
        <v>30</v>
      </c>
      <c r="D236" s="8">
        <v>8</v>
      </c>
      <c r="E236" s="7">
        <v>10</v>
      </c>
      <c r="F236" s="7">
        <v>9.1999999999999993</v>
      </c>
      <c r="G236" s="7">
        <f t="shared" si="24"/>
        <v>6.4000000000000057</v>
      </c>
      <c r="H236" s="1" t="str">
        <f t="shared" si="25"/>
        <v>Sunday</v>
      </c>
      <c r="I236" s="102" t="str">
        <f t="shared" si="26"/>
        <v>Week 4</v>
      </c>
    </row>
    <row r="237" spans="2:9" ht="26.25" customHeight="1">
      <c r="B237" s="99">
        <v>46264</v>
      </c>
      <c r="C237" s="1" t="s">
        <v>140</v>
      </c>
      <c r="D237" s="8">
        <v>1</v>
      </c>
      <c r="E237" s="7">
        <v>580</v>
      </c>
      <c r="F237" s="7">
        <v>442</v>
      </c>
      <c r="G237" s="7">
        <f t="shared" si="24"/>
        <v>138</v>
      </c>
      <c r="H237" s="1" t="str">
        <f t="shared" si="25"/>
        <v>Sunday</v>
      </c>
      <c r="I237" s="102" t="str">
        <f t="shared" si="26"/>
        <v>Week 4</v>
      </c>
    </row>
    <row r="238" spans="2:9" ht="26.25" customHeight="1">
      <c r="B238" s="99">
        <v>46264</v>
      </c>
      <c r="C238" s="1" t="s">
        <v>50</v>
      </c>
      <c r="D238" s="8">
        <v>1</v>
      </c>
      <c r="E238" s="7">
        <v>60</v>
      </c>
      <c r="F238" s="7">
        <v>47</v>
      </c>
      <c r="G238" s="7">
        <f t="shared" ref="G238:G269" si="27">(E238-F238)*D238</f>
        <v>13</v>
      </c>
      <c r="H238" s="1" t="str">
        <f t="shared" ref="H238:H252" si="28">TEXT(B238,"dddd")</f>
        <v>Sunday</v>
      </c>
      <c r="I238" s="102" t="str">
        <f t="shared" ref="I238:I252" si="29">"Week " &amp; (INT((B238 - DATE(2026,8,3)) / 7) + 1)</f>
        <v>Week 4</v>
      </c>
    </row>
    <row r="239" spans="2:9" ht="26.25" customHeight="1">
      <c r="B239" s="99">
        <v>46264</v>
      </c>
      <c r="C239" s="1" t="s">
        <v>141</v>
      </c>
      <c r="D239" s="8">
        <v>1</v>
      </c>
      <c r="E239" s="7">
        <v>110</v>
      </c>
      <c r="F239" s="7">
        <v>88</v>
      </c>
      <c r="G239" s="7">
        <f t="shared" si="27"/>
        <v>22</v>
      </c>
      <c r="H239" s="1" t="str">
        <f t="shared" si="28"/>
        <v>Sunday</v>
      </c>
      <c r="I239" s="102" t="str">
        <f t="shared" si="29"/>
        <v>Week 4</v>
      </c>
    </row>
    <row r="240" spans="2:9" ht="26.25" customHeight="1">
      <c r="B240" s="99">
        <v>46264</v>
      </c>
      <c r="C240" s="1" t="s">
        <v>112</v>
      </c>
      <c r="D240" s="8">
        <v>1</v>
      </c>
      <c r="E240" s="7">
        <v>80</v>
      </c>
      <c r="F240" s="7">
        <v>71</v>
      </c>
      <c r="G240" s="7">
        <f t="shared" si="27"/>
        <v>9</v>
      </c>
      <c r="H240" s="1" t="str">
        <f t="shared" si="28"/>
        <v>Sunday</v>
      </c>
      <c r="I240" s="102" t="str">
        <f t="shared" si="29"/>
        <v>Week 4</v>
      </c>
    </row>
    <row r="241" spans="2:9" ht="26.25" customHeight="1">
      <c r="B241" s="99">
        <v>46264</v>
      </c>
      <c r="C241" s="1" t="s">
        <v>142</v>
      </c>
      <c r="D241" s="8">
        <v>2</v>
      </c>
      <c r="E241" s="7">
        <v>120</v>
      </c>
      <c r="F241" s="7">
        <v>84</v>
      </c>
      <c r="G241" s="7">
        <f t="shared" si="27"/>
        <v>72</v>
      </c>
      <c r="H241" s="1" t="str">
        <f t="shared" si="28"/>
        <v>Sunday</v>
      </c>
      <c r="I241" s="102" t="str">
        <f t="shared" si="29"/>
        <v>Week 4</v>
      </c>
    </row>
    <row r="242" spans="2:9" ht="26.25" customHeight="1">
      <c r="B242" s="99">
        <v>46264</v>
      </c>
      <c r="C242" s="1" t="s">
        <v>143</v>
      </c>
      <c r="D242" s="8">
        <v>1</v>
      </c>
      <c r="E242" s="7">
        <v>220</v>
      </c>
      <c r="F242" s="7">
        <v>180</v>
      </c>
      <c r="G242" s="7">
        <f t="shared" si="27"/>
        <v>40</v>
      </c>
      <c r="H242" s="1" t="str">
        <f t="shared" si="28"/>
        <v>Sunday</v>
      </c>
      <c r="I242" s="102" t="str">
        <f t="shared" si="29"/>
        <v>Week 4</v>
      </c>
    </row>
    <row r="243" spans="2:9" ht="26.25" customHeight="1">
      <c r="B243" s="99">
        <v>46264</v>
      </c>
      <c r="C243" s="1" t="s">
        <v>52</v>
      </c>
      <c r="D243" s="8">
        <v>2</v>
      </c>
      <c r="E243" s="7">
        <v>45</v>
      </c>
      <c r="F243" s="7">
        <v>38</v>
      </c>
      <c r="G243" s="7">
        <f t="shared" si="27"/>
        <v>14</v>
      </c>
      <c r="H243" s="1" t="str">
        <f t="shared" si="28"/>
        <v>Sunday</v>
      </c>
      <c r="I243" s="102" t="str">
        <f t="shared" si="29"/>
        <v>Week 4</v>
      </c>
    </row>
    <row r="244" spans="2:9" ht="26.25" customHeight="1">
      <c r="B244" s="99">
        <v>46265</v>
      </c>
      <c r="C244" s="1" t="s">
        <v>109</v>
      </c>
      <c r="D244" s="8">
        <v>1</v>
      </c>
      <c r="E244" s="7">
        <v>8300</v>
      </c>
      <c r="F244" s="7">
        <v>8020</v>
      </c>
      <c r="G244" s="7">
        <f t="shared" si="27"/>
        <v>280</v>
      </c>
      <c r="H244" s="1" t="str">
        <f t="shared" si="28"/>
        <v>Monday</v>
      </c>
      <c r="I244" s="102" t="str">
        <f t="shared" si="29"/>
        <v>Week 5</v>
      </c>
    </row>
    <row r="245" spans="2:9" ht="26.25" customHeight="1">
      <c r="B245" s="99">
        <v>46265</v>
      </c>
      <c r="C245" s="1" t="s">
        <v>26</v>
      </c>
      <c r="D245" s="8">
        <v>1</v>
      </c>
      <c r="E245" s="7">
        <v>1300</v>
      </c>
      <c r="F245" s="7">
        <v>1180</v>
      </c>
      <c r="G245" s="7">
        <f t="shared" si="27"/>
        <v>120</v>
      </c>
      <c r="H245" s="1" t="str">
        <f t="shared" si="28"/>
        <v>Monday</v>
      </c>
      <c r="I245" s="102" t="str">
        <f t="shared" si="29"/>
        <v>Week 5</v>
      </c>
    </row>
    <row r="246" spans="2:9" ht="26.25" customHeight="1">
      <c r="B246" s="99">
        <v>46265</v>
      </c>
      <c r="C246" s="1" t="s">
        <v>104</v>
      </c>
      <c r="D246" s="8">
        <v>2</v>
      </c>
      <c r="E246" s="7">
        <v>15</v>
      </c>
      <c r="F246" s="7">
        <v>12</v>
      </c>
      <c r="G246" s="7">
        <f t="shared" si="27"/>
        <v>6</v>
      </c>
      <c r="H246" s="1" t="str">
        <f t="shared" si="28"/>
        <v>Monday</v>
      </c>
      <c r="I246" s="102" t="str">
        <f t="shared" si="29"/>
        <v>Week 5</v>
      </c>
    </row>
    <row r="247" spans="2:9" ht="26.25" customHeight="1">
      <c r="B247" s="99">
        <v>46265</v>
      </c>
      <c r="C247" s="1" t="s">
        <v>129</v>
      </c>
      <c r="D247" s="8">
        <v>6</v>
      </c>
      <c r="E247" s="7">
        <v>10</v>
      </c>
      <c r="F247" s="7">
        <v>9</v>
      </c>
      <c r="G247" s="7">
        <f t="shared" si="27"/>
        <v>6</v>
      </c>
      <c r="H247" s="1" t="str">
        <f t="shared" si="28"/>
        <v>Monday</v>
      </c>
      <c r="I247" s="102" t="str">
        <f t="shared" si="29"/>
        <v>Week 5</v>
      </c>
    </row>
    <row r="248" spans="2:9" ht="26.25" customHeight="1">
      <c r="B248" s="99">
        <v>46265</v>
      </c>
      <c r="C248" s="1" t="s">
        <v>76</v>
      </c>
      <c r="D248" s="8">
        <v>22</v>
      </c>
      <c r="E248" s="7">
        <v>185</v>
      </c>
      <c r="F248" s="7">
        <v>164</v>
      </c>
      <c r="G248" s="7">
        <f t="shared" si="27"/>
        <v>462</v>
      </c>
      <c r="H248" s="1" t="str">
        <f t="shared" si="28"/>
        <v>Monday</v>
      </c>
      <c r="I248" s="102" t="str">
        <f t="shared" si="29"/>
        <v>Week 5</v>
      </c>
    </row>
    <row r="249" spans="2:9" ht="26.25" customHeight="1">
      <c r="B249" s="99">
        <v>46265</v>
      </c>
      <c r="C249" s="1" t="s">
        <v>77</v>
      </c>
      <c r="D249" s="8">
        <v>12</v>
      </c>
      <c r="E249" s="7">
        <v>15</v>
      </c>
      <c r="F249" s="7">
        <v>12.5</v>
      </c>
      <c r="G249" s="7">
        <f t="shared" si="27"/>
        <v>30</v>
      </c>
      <c r="H249" s="1" t="str">
        <f t="shared" si="28"/>
        <v>Monday</v>
      </c>
      <c r="I249" s="102" t="str">
        <f t="shared" si="29"/>
        <v>Week 5</v>
      </c>
    </row>
    <row r="250" spans="2:9" ht="26.25" customHeight="1">
      <c r="B250" s="99">
        <v>46265</v>
      </c>
      <c r="C250" s="1" t="s">
        <v>133</v>
      </c>
      <c r="D250" s="8">
        <v>1</v>
      </c>
      <c r="E250" s="7">
        <v>530</v>
      </c>
      <c r="F250" s="7">
        <v>466</v>
      </c>
      <c r="G250" s="7">
        <f t="shared" si="27"/>
        <v>64</v>
      </c>
      <c r="H250" s="1" t="str">
        <f t="shared" si="28"/>
        <v>Monday</v>
      </c>
      <c r="I250" s="102" t="str">
        <f t="shared" si="29"/>
        <v>Week 5</v>
      </c>
    </row>
    <row r="251" spans="2:9" ht="26.25" customHeight="1">
      <c r="B251" s="99">
        <v>46265</v>
      </c>
      <c r="C251" s="1" t="s">
        <v>134</v>
      </c>
      <c r="D251" s="8">
        <v>2</v>
      </c>
      <c r="E251" s="7">
        <v>125</v>
      </c>
      <c r="F251" s="7">
        <v>99</v>
      </c>
      <c r="G251" s="7">
        <f t="shared" si="27"/>
        <v>52</v>
      </c>
      <c r="H251" s="1" t="str">
        <f t="shared" si="28"/>
        <v>Monday</v>
      </c>
      <c r="I251" s="102" t="str">
        <f t="shared" si="29"/>
        <v>Week 5</v>
      </c>
    </row>
    <row r="252" spans="2:9" ht="26.25" customHeight="1">
      <c r="B252" s="99">
        <v>46265</v>
      </c>
      <c r="C252" s="1" t="s">
        <v>100</v>
      </c>
      <c r="D252" s="8">
        <v>2</v>
      </c>
      <c r="E252" s="7">
        <v>110</v>
      </c>
      <c r="F252" s="7">
        <v>88</v>
      </c>
      <c r="G252" s="7">
        <f t="shared" si="27"/>
        <v>44</v>
      </c>
      <c r="H252" s="1" t="str">
        <f t="shared" si="28"/>
        <v>Monday</v>
      </c>
      <c r="I252" s="102" t="str">
        <f t="shared" si="29"/>
        <v>Week 5</v>
      </c>
    </row>
    <row r="253" spans="2:9" ht="26.25" customHeight="1">
      <c r="B253" s="99">
        <v>46266</v>
      </c>
      <c r="C253" s="1" t="s">
        <v>34</v>
      </c>
      <c r="D253" s="8">
        <v>4</v>
      </c>
      <c r="E253" s="7">
        <v>570</v>
      </c>
      <c r="F253" s="7">
        <v>521</v>
      </c>
      <c r="G253" s="7">
        <f t="shared" ref="G253:G284" si="30">(E253-F253)*D253</f>
        <v>196</v>
      </c>
      <c r="H253" s="1" t="str">
        <f t="shared" ref="H253:H284" si="31">TEXT(B253,"dddd")</f>
        <v>Tuesday</v>
      </c>
      <c r="I253" s="102" t="str">
        <f t="shared" ref="I253:I284" si="32">"Week " &amp; (INT((B253 - DATE(2026,8,3)) / 7) + 1)</f>
        <v>Week 5</v>
      </c>
    </row>
    <row r="254" spans="2:9" ht="26.25" customHeight="1">
      <c r="B254" s="99">
        <v>46266</v>
      </c>
      <c r="C254" s="1" t="s">
        <v>36</v>
      </c>
      <c r="D254" s="8">
        <v>8</v>
      </c>
      <c r="E254" s="7">
        <v>110</v>
      </c>
      <c r="F254" s="7">
        <v>89</v>
      </c>
      <c r="G254" s="7">
        <f t="shared" si="30"/>
        <v>168</v>
      </c>
      <c r="H254" s="1" t="str">
        <f t="shared" si="31"/>
        <v>Tuesday</v>
      </c>
      <c r="I254" s="102" t="str">
        <f t="shared" si="32"/>
        <v>Week 5</v>
      </c>
    </row>
    <row r="255" spans="2:9" ht="26.25" customHeight="1">
      <c r="B255" s="99">
        <v>46266</v>
      </c>
      <c r="C255" s="1" t="s">
        <v>37</v>
      </c>
      <c r="D255" s="8">
        <v>1</v>
      </c>
      <c r="E255" s="7">
        <v>190</v>
      </c>
      <c r="F255" s="7">
        <v>164</v>
      </c>
      <c r="G255" s="7">
        <f t="shared" si="30"/>
        <v>26</v>
      </c>
      <c r="H255" s="1" t="str">
        <f t="shared" si="31"/>
        <v>Tuesday</v>
      </c>
      <c r="I255" s="102" t="str">
        <f t="shared" si="32"/>
        <v>Week 5</v>
      </c>
    </row>
    <row r="256" spans="2:9" ht="26.25" customHeight="1">
      <c r="B256" s="99">
        <v>46266</v>
      </c>
      <c r="C256" s="1" t="s">
        <v>35</v>
      </c>
      <c r="D256" s="8">
        <v>2</v>
      </c>
      <c r="E256" s="7">
        <v>90</v>
      </c>
      <c r="F256" s="7">
        <v>79</v>
      </c>
      <c r="G256" s="7">
        <f t="shared" si="30"/>
        <v>22</v>
      </c>
      <c r="H256" s="1" t="str">
        <f t="shared" si="31"/>
        <v>Tuesday</v>
      </c>
      <c r="I256" s="102" t="str">
        <f t="shared" si="32"/>
        <v>Week 5</v>
      </c>
    </row>
    <row r="257" spans="2:9" ht="26.25" customHeight="1">
      <c r="B257" s="99">
        <v>46266</v>
      </c>
      <c r="C257" s="1" t="s">
        <v>144</v>
      </c>
      <c r="D257" s="8">
        <v>1</v>
      </c>
      <c r="E257" s="7">
        <v>340</v>
      </c>
      <c r="F257" s="7">
        <v>296</v>
      </c>
      <c r="G257" s="7">
        <f t="shared" si="30"/>
        <v>44</v>
      </c>
      <c r="H257" s="1" t="str">
        <f t="shared" si="31"/>
        <v>Tuesday</v>
      </c>
      <c r="I257" s="102" t="str">
        <f t="shared" si="32"/>
        <v>Week 5</v>
      </c>
    </row>
    <row r="258" spans="2:9" ht="26.25" customHeight="1">
      <c r="B258" s="99">
        <v>46266</v>
      </c>
      <c r="C258" s="1" t="s">
        <v>38</v>
      </c>
      <c r="D258" s="8">
        <v>2</v>
      </c>
      <c r="E258" s="7">
        <v>110</v>
      </c>
      <c r="F258" s="7">
        <v>98</v>
      </c>
      <c r="G258" s="7">
        <f t="shared" si="30"/>
        <v>24</v>
      </c>
      <c r="H258" s="1" t="str">
        <f t="shared" si="31"/>
        <v>Tuesday</v>
      </c>
      <c r="I258" s="102" t="str">
        <f t="shared" si="32"/>
        <v>Week 5</v>
      </c>
    </row>
    <row r="259" spans="2:9" ht="26.25" customHeight="1">
      <c r="B259" s="99">
        <v>46266</v>
      </c>
      <c r="C259" s="1" t="s">
        <v>30</v>
      </c>
      <c r="D259" s="8">
        <v>6</v>
      </c>
      <c r="E259" s="7">
        <v>10</v>
      </c>
      <c r="F259" s="7">
        <v>9.1</v>
      </c>
      <c r="G259" s="7">
        <f t="shared" si="30"/>
        <v>5.4000000000000021</v>
      </c>
      <c r="H259" s="1" t="str">
        <f t="shared" si="31"/>
        <v>Tuesday</v>
      </c>
      <c r="I259" s="102" t="str">
        <f t="shared" si="32"/>
        <v>Week 5</v>
      </c>
    </row>
    <row r="260" spans="2:9" ht="26.25" customHeight="1">
      <c r="B260" s="99">
        <v>46266</v>
      </c>
      <c r="C260" s="1" t="s">
        <v>145</v>
      </c>
      <c r="D260" s="8">
        <v>1</v>
      </c>
      <c r="E260" s="7">
        <v>2200</v>
      </c>
      <c r="F260" s="7">
        <v>1872</v>
      </c>
      <c r="G260" s="7">
        <f t="shared" si="30"/>
        <v>328</v>
      </c>
      <c r="H260" s="1" t="str">
        <f t="shared" si="31"/>
        <v>Tuesday</v>
      </c>
      <c r="I260" s="102" t="str">
        <f t="shared" si="32"/>
        <v>Week 5</v>
      </c>
    </row>
    <row r="261" spans="2:9" ht="26.25" customHeight="1">
      <c r="B261" s="99">
        <v>46267</v>
      </c>
      <c r="C261" s="1" t="s">
        <v>146</v>
      </c>
      <c r="D261" s="8">
        <v>1</v>
      </c>
      <c r="E261" s="7">
        <v>4450</v>
      </c>
      <c r="F261" s="7">
        <v>4095</v>
      </c>
      <c r="G261" s="7">
        <f t="shared" si="30"/>
        <v>355</v>
      </c>
      <c r="H261" s="1" t="str">
        <f t="shared" si="31"/>
        <v>Wednesday</v>
      </c>
      <c r="I261" s="102" t="str">
        <f t="shared" si="32"/>
        <v>Week 5</v>
      </c>
    </row>
    <row r="262" spans="2:9" ht="26.25" customHeight="1">
      <c r="B262" s="99">
        <v>46267</v>
      </c>
      <c r="C262" s="1" t="s">
        <v>79</v>
      </c>
      <c r="D262" s="8">
        <v>2</v>
      </c>
      <c r="E262" s="7">
        <v>250</v>
      </c>
      <c r="F262" s="7">
        <v>210</v>
      </c>
      <c r="G262" s="7">
        <f t="shared" si="30"/>
        <v>80</v>
      </c>
      <c r="H262" s="1" t="str">
        <f t="shared" si="31"/>
        <v>Wednesday</v>
      </c>
      <c r="I262" s="102" t="str">
        <f t="shared" si="32"/>
        <v>Week 5</v>
      </c>
    </row>
    <row r="263" spans="2:9" ht="26.25" customHeight="1">
      <c r="B263" s="99">
        <v>46267</v>
      </c>
      <c r="C263" s="1" t="s">
        <v>147</v>
      </c>
      <c r="D263" s="8">
        <v>6</v>
      </c>
      <c r="E263" s="7">
        <v>120</v>
      </c>
      <c r="F263" s="7">
        <v>91</v>
      </c>
      <c r="G263" s="7">
        <f t="shared" si="30"/>
        <v>174</v>
      </c>
      <c r="H263" s="1" t="str">
        <f t="shared" si="31"/>
        <v>Wednesday</v>
      </c>
      <c r="I263" s="102" t="str">
        <f t="shared" si="32"/>
        <v>Week 5</v>
      </c>
    </row>
    <row r="264" spans="2:9" ht="26.25" customHeight="1">
      <c r="B264" s="99">
        <v>46267</v>
      </c>
      <c r="C264" s="1" t="s">
        <v>148</v>
      </c>
      <c r="D264" s="8">
        <v>6</v>
      </c>
      <c r="E264" s="7">
        <v>90</v>
      </c>
      <c r="F264" s="7">
        <v>72</v>
      </c>
      <c r="G264" s="7">
        <f t="shared" si="30"/>
        <v>108</v>
      </c>
      <c r="H264" s="1" t="str">
        <f t="shared" si="31"/>
        <v>Wednesday</v>
      </c>
      <c r="I264" s="102" t="str">
        <f t="shared" si="32"/>
        <v>Week 5</v>
      </c>
    </row>
    <row r="265" spans="2:9" ht="26.25" customHeight="1">
      <c r="B265" s="99">
        <v>46267</v>
      </c>
      <c r="C265" s="1" t="s">
        <v>149</v>
      </c>
      <c r="D265" s="8">
        <v>10</v>
      </c>
      <c r="E265" s="7">
        <v>20</v>
      </c>
      <c r="F265" s="7">
        <v>14.24</v>
      </c>
      <c r="G265" s="7">
        <f t="shared" si="30"/>
        <v>57.599999999999994</v>
      </c>
      <c r="H265" s="1" t="str">
        <f t="shared" si="31"/>
        <v>Wednesday</v>
      </c>
      <c r="I265" s="102" t="str">
        <f t="shared" si="32"/>
        <v>Week 5</v>
      </c>
    </row>
    <row r="266" spans="2:9" ht="26.25" customHeight="1">
      <c r="B266" s="99">
        <v>46267</v>
      </c>
      <c r="C266" s="1" t="s">
        <v>76</v>
      </c>
      <c r="D266" s="8">
        <v>3</v>
      </c>
      <c r="E266" s="7">
        <v>170</v>
      </c>
      <c r="F266" s="7">
        <v>159</v>
      </c>
      <c r="G266" s="7">
        <f t="shared" si="30"/>
        <v>33</v>
      </c>
      <c r="H266" s="1" t="str">
        <f t="shared" si="31"/>
        <v>Wednesday</v>
      </c>
      <c r="I266" s="102" t="str">
        <f t="shared" si="32"/>
        <v>Week 5</v>
      </c>
    </row>
    <row r="267" spans="2:9" ht="26.25" customHeight="1">
      <c r="B267" s="99">
        <v>46267</v>
      </c>
      <c r="C267" s="1" t="s">
        <v>128</v>
      </c>
      <c r="D267" s="8">
        <v>2</v>
      </c>
      <c r="E267" s="7">
        <v>70</v>
      </c>
      <c r="F267" s="7">
        <v>53</v>
      </c>
      <c r="G267" s="7">
        <f t="shared" si="30"/>
        <v>34</v>
      </c>
      <c r="H267" s="1" t="str">
        <f t="shared" si="31"/>
        <v>Wednesday</v>
      </c>
      <c r="I267" s="102" t="str">
        <f t="shared" si="32"/>
        <v>Week 5</v>
      </c>
    </row>
    <row r="268" spans="2:9" ht="26.25" customHeight="1">
      <c r="B268" s="99">
        <v>46267</v>
      </c>
      <c r="C268" s="1" t="s">
        <v>29</v>
      </c>
      <c r="D268" s="8">
        <v>2</v>
      </c>
      <c r="E268" s="7">
        <v>20</v>
      </c>
      <c r="F268" s="7">
        <v>14</v>
      </c>
      <c r="G268" s="7">
        <f t="shared" si="30"/>
        <v>12</v>
      </c>
      <c r="H268" s="1" t="str">
        <f t="shared" si="31"/>
        <v>Wednesday</v>
      </c>
      <c r="I268" s="102" t="str">
        <f t="shared" si="32"/>
        <v>Week 5</v>
      </c>
    </row>
    <row r="269" spans="2:9" ht="26.25" customHeight="1">
      <c r="B269" s="99">
        <v>46268</v>
      </c>
      <c r="C269" s="1" t="s">
        <v>41</v>
      </c>
      <c r="D269" s="8">
        <v>3</v>
      </c>
      <c r="E269" s="7">
        <v>320</v>
      </c>
      <c r="F269" s="7">
        <v>290</v>
      </c>
      <c r="G269" s="7">
        <f t="shared" si="30"/>
        <v>90</v>
      </c>
      <c r="H269" s="1" t="str">
        <f t="shared" si="31"/>
        <v>Thursday</v>
      </c>
      <c r="I269" s="102" t="str">
        <f t="shared" si="32"/>
        <v>Week 5</v>
      </c>
    </row>
    <row r="270" spans="2:9" ht="26.25" customHeight="1">
      <c r="B270" s="99">
        <v>46268</v>
      </c>
      <c r="C270" s="1" t="s">
        <v>42</v>
      </c>
      <c r="D270" s="8">
        <v>2</v>
      </c>
      <c r="E270" s="7">
        <v>90</v>
      </c>
      <c r="F270" s="7">
        <v>78</v>
      </c>
      <c r="G270" s="7">
        <f t="shared" si="30"/>
        <v>24</v>
      </c>
      <c r="H270" s="1" t="str">
        <f t="shared" si="31"/>
        <v>Thursday</v>
      </c>
      <c r="I270" s="102" t="str">
        <f t="shared" si="32"/>
        <v>Week 5</v>
      </c>
    </row>
    <row r="271" spans="2:9" ht="26.25" customHeight="1">
      <c r="B271" s="99">
        <v>46268</v>
      </c>
      <c r="C271" s="1" t="s">
        <v>95</v>
      </c>
      <c r="D271" s="8">
        <v>2</v>
      </c>
      <c r="E271" s="7">
        <v>30</v>
      </c>
      <c r="F271" s="7">
        <v>19</v>
      </c>
      <c r="G271" s="7">
        <f t="shared" si="30"/>
        <v>22</v>
      </c>
      <c r="H271" s="1" t="str">
        <f t="shared" si="31"/>
        <v>Thursday</v>
      </c>
      <c r="I271" s="102" t="str">
        <f t="shared" si="32"/>
        <v>Week 5</v>
      </c>
    </row>
    <row r="272" spans="2:9" ht="26.25" customHeight="1">
      <c r="B272" s="99">
        <v>46268</v>
      </c>
      <c r="C272" s="1" t="s">
        <v>127</v>
      </c>
      <c r="D272" s="8">
        <v>1</v>
      </c>
      <c r="E272" s="7">
        <v>60</v>
      </c>
      <c r="F272" s="7">
        <v>42</v>
      </c>
      <c r="G272" s="7">
        <f t="shared" si="30"/>
        <v>18</v>
      </c>
      <c r="H272" s="1" t="str">
        <f t="shared" si="31"/>
        <v>Thursday</v>
      </c>
      <c r="I272" s="102" t="str">
        <f t="shared" si="32"/>
        <v>Week 5</v>
      </c>
    </row>
    <row r="273" spans="2:9" ht="26.25" customHeight="1">
      <c r="B273" s="99">
        <v>46268</v>
      </c>
      <c r="C273" s="1" t="s">
        <v>41</v>
      </c>
      <c r="D273" s="8">
        <v>2</v>
      </c>
      <c r="E273" s="7">
        <v>320</v>
      </c>
      <c r="F273" s="7">
        <v>290</v>
      </c>
      <c r="G273" s="7">
        <f t="shared" si="30"/>
        <v>60</v>
      </c>
      <c r="H273" s="1" t="str">
        <f t="shared" si="31"/>
        <v>Thursday</v>
      </c>
      <c r="I273" s="102" t="str">
        <f t="shared" si="32"/>
        <v>Week 5</v>
      </c>
    </row>
    <row r="274" spans="2:9" ht="26.25" customHeight="1">
      <c r="B274" s="99">
        <v>46268</v>
      </c>
      <c r="C274" s="1" t="s">
        <v>150</v>
      </c>
      <c r="D274" s="8">
        <v>3</v>
      </c>
      <c r="E274" s="7">
        <v>60</v>
      </c>
      <c r="F274" s="7">
        <v>51</v>
      </c>
      <c r="G274" s="7">
        <f t="shared" si="30"/>
        <v>27</v>
      </c>
      <c r="H274" s="1" t="str">
        <f t="shared" si="31"/>
        <v>Thursday</v>
      </c>
      <c r="I274" s="102" t="str">
        <f t="shared" si="32"/>
        <v>Week 5</v>
      </c>
    </row>
    <row r="275" spans="2:9" ht="26.25" customHeight="1">
      <c r="B275" s="99">
        <v>46268</v>
      </c>
      <c r="C275" s="1" t="s">
        <v>42</v>
      </c>
      <c r="D275" s="8">
        <v>2</v>
      </c>
      <c r="E275" s="7">
        <v>90</v>
      </c>
      <c r="F275" s="7">
        <v>78</v>
      </c>
      <c r="G275" s="7">
        <f t="shared" si="30"/>
        <v>24</v>
      </c>
      <c r="H275" s="1" t="str">
        <f t="shared" si="31"/>
        <v>Thursday</v>
      </c>
      <c r="I275" s="102" t="str">
        <f t="shared" si="32"/>
        <v>Week 5</v>
      </c>
    </row>
    <row r="276" spans="2:9" ht="26.25" customHeight="1">
      <c r="B276" s="99">
        <v>46268</v>
      </c>
      <c r="C276" s="1" t="s">
        <v>151</v>
      </c>
      <c r="D276" s="8">
        <v>1</v>
      </c>
      <c r="E276" s="7">
        <v>50</v>
      </c>
      <c r="F276" s="7">
        <v>34</v>
      </c>
      <c r="G276" s="7">
        <f t="shared" si="30"/>
        <v>16</v>
      </c>
      <c r="H276" s="1" t="str">
        <f t="shared" si="31"/>
        <v>Thursday</v>
      </c>
      <c r="I276" s="102" t="str">
        <f t="shared" si="32"/>
        <v>Week 5</v>
      </c>
    </row>
    <row r="277" spans="2:9" ht="26.25" customHeight="1">
      <c r="B277" s="99">
        <v>46268</v>
      </c>
      <c r="C277" s="1" t="s">
        <v>127</v>
      </c>
      <c r="D277" s="8">
        <v>1</v>
      </c>
      <c r="E277" s="7">
        <v>60</v>
      </c>
      <c r="F277" s="7">
        <v>42</v>
      </c>
      <c r="G277" s="7">
        <f t="shared" si="30"/>
        <v>18</v>
      </c>
      <c r="H277" s="1" t="str">
        <f t="shared" si="31"/>
        <v>Thursday</v>
      </c>
      <c r="I277" s="102" t="str">
        <f t="shared" si="32"/>
        <v>Week 5</v>
      </c>
    </row>
    <row r="278" spans="2:9" ht="26.25" customHeight="1">
      <c r="B278" s="99">
        <v>46269</v>
      </c>
      <c r="C278" s="1" t="s">
        <v>152</v>
      </c>
      <c r="D278" s="8">
        <v>1</v>
      </c>
      <c r="E278" s="7">
        <v>1100</v>
      </c>
      <c r="F278" s="7">
        <v>930</v>
      </c>
      <c r="G278" s="7">
        <f t="shared" si="30"/>
        <v>170</v>
      </c>
      <c r="H278" s="1" t="str">
        <f t="shared" si="31"/>
        <v>Friday</v>
      </c>
      <c r="I278" s="102" t="str">
        <f t="shared" si="32"/>
        <v>Week 5</v>
      </c>
    </row>
    <row r="279" spans="2:9" ht="26.25" customHeight="1">
      <c r="B279" s="99">
        <v>46269</v>
      </c>
      <c r="C279" s="1" t="s">
        <v>76</v>
      </c>
      <c r="D279" s="8">
        <v>7</v>
      </c>
      <c r="E279" s="7">
        <v>170</v>
      </c>
      <c r="F279" s="7">
        <v>159</v>
      </c>
      <c r="G279" s="7">
        <f t="shared" si="30"/>
        <v>77</v>
      </c>
      <c r="H279" s="1" t="str">
        <f t="shared" si="31"/>
        <v>Friday</v>
      </c>
      <c r="I279" s="102" t="str">
        <f t="shared" si="32"/>
        <v>Week 5</v>
      </c>
    </row>
    <row r="280" spans="2:9" ht="26.25" customHeight="1">
      <c r="B280" s="99">
        <v>46269</v>
      </c>
      <c r="C280" s="1" t="s">
        <v>77</v>
      </c>
      <c r="D280" s="8">
        <v>8</v>
      </c>
      <c r="E280" s="7">
        <v>15</v>
      </c>
      <c r="F280" s="7">
        <v>12.5</v>
      </c>
      <c r="G280" s="7">
        <f t="shared" si="30"/>
        <v>20</v>
      </c>
      <c r="H280" s="1" t="str">
        <f t="shared" si="31"/>
        <v>Friday</v>
      </c>
      <c r="I280" s="102" t="str">
        <f t="shared" si="32"/>
        <v>Week 5</v>
      </c>
    </row>
    <row r="281" spans="2:9" ht="26.25" customHeight="1">
      <c r="B281" s="99">
        <v>46269</v>
      </c>
      <c r="C281" s="1" t="s">
        <v>106</v>
      </c>
      <c r="D281" s="8">
        <v>7</v>
      </c>
      <c r="E281" s="7">
        <v>10</v>
      </c>
      <c r="F281" s="7">
        <v>8.1</v>
      </c>
      <c r="G281" s="7">
        <f t="shared" si="30"/>
        <v>13.300000000000002</v>
      </c>
      <c r="H281" s="1" t="str">
        <f t="shared" si="31"/>
        <v>Friday</v>
      </c>
      <c r="I281" s="102" t="str">
        <f t="shared" si="32"/>
        <v>Week 5</v>
      </c>
    </row>
    <row r="282" spans="2:9" ht="26.25" customHeight="1">
      <c r="B282" s="99">
        <v>46269</v>
      </c>
      <c r="C282" s="1" t="s">
        <v>107</v>
      </c>
      <c r="D282" s="8">
        <v>1</v>
      </c>
      <c r="E282" s="7">
        <v>320</v>
      </c>
      <c r="F282" s="7">
        <v>269</v>
      </c>
      <c r="G282" s="7">
        <f t="shared" si="30"/>
        <v>51</v>
      </c>
      <c r="H282" s="1" t="str">
        <f t="shared" si="31"/>
        <v>Friday</v>
      </c>
      <c r="I282" s="102" t="str">
        <f t="shared" si="32"/>
        <v>Week 5</v>
      </c>
    </row>
    <row r="283" spans="2:9" ht="26.25" customHeight="1">
      <c r="B283" s="99">
        <v>46269</v>
      </c>
      <c r="C283" s="1" t="s">
        <v>153</v>
      </c>
      <c r="D283" s="8">
        <v>1</v>
      </c>
      <c r="E283" s="7">
        <v>50</v>
      </c>
      <c r="F283" s="7">
        <v>38</v>
      </c>
      <c r="G283" s="7">
        <f t="shared" si="30"/>
        <v>12</v>
      </c>
      <c r="H283" s="1" t="str">
        <f t="shared" si="31"/>
        <v>Friday</v>
      </c>
      <c r="I283" s="102" t="str">
        <f t="shared" si="32"/>
        <v>Week 5</v>
      </c>
    </row>
    <row r="284" spans="2:9" ht="26.25" customHeight="1">
      <c r="B284" s="99">
        <v>46269</v>
      </c>
      <c r="C284" s="1" t="s">
        <v>128</v>
      </c>
      <c r="D284" s="8">
        <v>1</v>
      </c>
      <c r="E284" s="7">
        <v>60</v>
      </c>
      <c r="F284" s="7">
        <v>43</v>
      </c>
      <c r="G284" s="7">
        <f t="shared" si="30"/>
        <v>17</v>
      </c>
      <c r="H284" s="1" t="str">
        <f t="shared" si="31"/>
        <v>Friday</v>
      </c>
      <c r="I284" s="102" t="str">
        <f t="shared" si="32"/>
        <v>Week 5</v>
      </c>
    </row>
    <row r="285" spans="2:9" ht="26.25" customHeight="1">
      <c r="B285" s="99">
        <v>46269</v>
      </c>
      <c r="C285" s="1" t="s">
        <v>100</v>
      </c>
      <c r="D285" s="8">
        <v>1</v>
      </c>
      <c r="E285" s="7">
        <v>120</v>
      </c>
      <c r="F285" s="7">
        <v>78</v>
      </c>
      <c r="G285" s="7">
        <f t="shared" ref="G285:G316" si="33">(E285-F285)*D285</f>
        <v>42</v>
      </c>
      <c r="H285" s="1" t="str">
        <f t="shared" ref="H285:H314" si="34">TEXT(B285,"dddd")</f>
        <v>Friday</v>
      </c>
      <c r="I285" s="102" t="str">
        <f t="shared" ref="I285:I314" si="35">"Week " &amp; (INT((B285 - DATE(2026,8,3)) / 7) + 1)</f>
        <v>Week 5</v>
      </c>
    </row>
    <row r="286" spans="2:9" ht="26.25" customHeight="1">
      <c r="B286" s="99">
        <v>46269</v>
      </c>
      <c r="C286" s="1" t="s">
        <v>84</v>
      </c>
      <c r="D286" s="8">
        <v>4</v>
      </c>
      <c r="E286" s="7">
        <v>10</v>
      </c>
      <c r="F286" s="7">
        <v>9.1999999999999993</v>
      </c>
      <c r="G286" s="7">
        <f t="shared" si="33"/>
        <v>3.2000000000000028</v>
      </c>
      <c r="H286" s="1" t="str">
        <f t="shared" si="34"/>
        <v>Friday</v>
      </c>
      <c r="I286" s="102" t="str">
        <f t="shared" si="35"/>
        <v>Week 5</v>
      </c>
    </row>
    <row r="287" spans="2:9" ht="26.25" customHeight="1">
      <c r="B287" s="99">
        <v>46269</v>
      </c>
      <c r="C287" s="1" t="s">
        <v>154</v>
      </c>
      <c r="D287" s="8">
        <v>1</v>
      </c>
      <c r="E287" s="7">
        <v>4900</v>
      </c>
      <c r="F287" s="7">
        <v>4550</v>
      </c>
      <c r="G287" s="7">
        <f t="shared" si="33"/>
        <v>350</v>
      </c>
      <c r="H287" s="1" t="str">
        <f t="shared" si="34"/>
        <v>Friday</v>
      </c>
      <c r="I287" s="102" t="str">
        <f t="shared" si="35"/>
        <v>Week 5</v>
      </c>
    </row>
    <row r="288" spans="2:9" ht="26.25" customHeight="1">
      <c r="B288" s="99">
        <v>46270</v>
      </c>
      <c r="C288" s="1" t="s">
        <v>76</v>
      </c>
      <c r="D288" s="8">
        <v>6</v>
      </c>
      <c r="E288" s="7">
        <v>180</v>
      </c>
      <c r="F288" s="7">
        <v>167</v>
      </c>
      <c r="G288" s="7">
        <f t="shared" si="33"/>
        <v>78</v>
      </c>
      <c r="H288" s="1" t="str">
        <f t="shared" si="34"/>
        <v>Saturday</v>
      </c>
      <c r="I288" s="102" t="str">
        <f t="shared" si="35"/>
        <v>Week 5</v>
      </c>
    </row>
    <row r="289" spans="2:9" ht="26.25" customHeight="1">
      <c r="B289" s="99">
        <v>46270</v>
      </c>
      <c r="C289" s="1" t="s">
        <v>126</v>
      </c>
      <c r="D289" s="8">
        <v>12</v>
      </c>
      <c r="E289" s="7">
        <v>15</v>
      </c>
      <c r="F289" s="7">
        <v>12.5</v>
      </c>
      <c r="G289" s="7">
        <f t="shared" si="33"/>
        <v>30</v>
      </c>
      <c r="H289" s="1" t="str">
        <f t="shared" si="34"/>
        <v>Saturday</v>
      </c>
      <c r="I289" s="102" t="str">
        <f t="shared" si="35"/>
        <v>Week 5</v>
      </c>
    </row>
    <row r="290" spans="2:9" ht="26.25" customHeight="1">
      <c r="B290" s="99">
        <v>46270</v>
      </c>
      <c r="C290" s="1" t="s">
        <v>106</v>
      </c>
      <c r="D290" s="8">
        <v>6</v>
      </c>
      <c r="E290" s="7">
        <v>10</v>
      </c>
      <c r="F290" s="7">
        <v>8.4</v>
      </c>
      <c r="G290" s="7">
        <f t="shared" si="33"/>
        <v>9.5999999999999979</v>
      </c>
      <c r="H290" s="1" t="str">
        <f t="shared" si="34"/>
        <v>Saturday</v>
      </c>
      <c r="I290" s="102" t="str">
        <f t="shared" si="35"/>
        <v>Week 5</v>
      </c>
    </row>
    <row r="291" spans="2:9" ht="26.25" customHeight="1">
      <c r="B291" s="99">
        <v>46270</v>
      </c>
      <c r="C291" s="1" t="s">
        <v>127</v>
      </c>
      <c r="D291" s="8">
        <v>2</v>
      </c>
      <c r="E291" s="7">
        <v>40</v>
      </c>
      <c r="F291" s="7">
        <v>31</v>
      </c>
      <c r="G291" s="7">
        <f t="shared" si="33"/>
        <v>18</v>
      </c>
      <c r="H291" s="1" t="str">
        <f t="shared" si="34"/>
        <v>Saturday</v>
      </c>
      <c r="I291" s="102" t="str">
        <f t="shared" si="35"/>
        <v>Week 5</v>
      </c>
    </row>
    <row r="292" spans="2:9" ht="26.25" customHeight="1">
      <c r="B292" s="99">
        <v>46270</v>
      </c>
      <c r="C292" s="1" t="s">
        <v>41</v>
      </c>
      <c r="D292" s="8">
        <v>4</v>
      </c>
      <c r="E292" s="7">
        <v>325</v>
      </c>
      <c r="F292" s="7">
        <v>297</v>
      </c>
      <c r="G292" s="7">
        <f t="shared" si="33"/>
        <v>112</v>
      </c>
      <c r="H292" s="1" t="str">
        <f t="shared" si="34"/>
        <v>Saturday</v>
      </c>
      <c r="I292" s="102" t="str">
        <f t="shared" si="35"/>
        <v>Week 5</v>
      </c>
    </row>
    <row r="293" spans="2:9" ht="26.25" customHeight="1">
      <c r="B293" s="99">
        <v>46270</v>
      </c>
      <c r="C293" s="1" t="s">
        <v>43</v>
      </c>
      <c r="D293" s="8">
        <v>6</v>
      </c>
      <c r="E293" s="7">
        <v>60</v>
      </c>
      <c r="F293" s="7">
        <v>52</v>
      </c>
      <c r="G293" s="7">
        <f t="shared" si="33"/>
        <v>48</v>
      </c>
      <c r="H293" s="1" t="str">
        <f t="shared" si="34"/>
        <v>Saturday</v>
      </c>
      <c r="I293" s="102" t="str">
        <f t="shared" si="35"/>
        <v>Week 5</v>
      </c>
    </row>
    <row r="294" spans="2:9" ht="26.25" customHeight="1">
      <c r="B294" s="99">
        <v>46270</v>
      </c>
      <c r="C294" s="1" t="s">
        <v>155</v>
      </c>
      <c r="D294" s="8">
        <v>15</v>
      </c>
      <c r="E294" s="7">
        <v>10</v>
      </c>
      <c r="F294" s="7">
        <v>7</v>
      </c>
      <c r="G294" s="7">
        <f t="shared" si="33"/>
        <v>45</v>
      </c>
      <c r="H294" s="1" t="str">
        <f t="shared" si="34"/>
        <v>Saturday</v>
      </c>
      <c r="I294" s="102" t="str">
        <f t="shared" si="35"/>
        <v>Week 5</v>
      </c>
    </row>
    <row r="295" spans="2:9" ht="26.25" customHeight="1">
      <c r="B295" s="99">
        <v>46270</v>
      </c>
      <c r="C295" s="1" t="s">
        <v>55</v>
      </c>
      <c r="D295" s="8">
        <v>2</v>
      </c>
      <c r="E295" s="7">
        <v>60</v>
      </c>
      <c r="F295" s="7">
        <v>42</v>
      </c>
      <c r="G295" s="7">
        <f t="shared" si="33"/>
        <v>36</v>
      </c>
      <c r="H295" s="1" t="str">
        <f t="shared" si="34"/>
        <v>Saturday</v>
      </c>
      <c r="I295" s="102" t="str">
        <f t="shared" si="35"/>
        <v>Week 5</v>
      </c>
    </row>
    <row r="296" spans="2:9" ht="26.25" customHeight="1">
      <c r="B296" s="99">
        <v>46271</v>
      </c>
      <c r="C296" s="1" t="s">
        <v>76</v>
      </c>
      <c r="D296" s="8">
        <v>20</v>
      </c>
      <c r="E296" s="7">
        <v>160</v>
      </c>
      <c r="F296" s="7">
        <v>149.5</v>
      </c>
      <c r="G296" s="7">
        <f t="shared" si="33"/>
        <v>210</v>
      </c>
      <c r="H296" s="1" t="str">
        <f t="shared" si="34"/>
        <v>Sunday</v>
      </c>
      <c r="I296" s="102" t="str">
        <f t="shared" si="35"/>
        <v>Week 5</v>
      </c>
    </row>
    <row r="297" spans="2:9" ht="26.25" customHeight="1">
      <c r="B297" s="99">
        <v>46271</v>
      </c>
      <c r="C297" s="1" t="s">
        <v>106</v>
      </c>
      <c r="D297" s="8">
        <v>30</v>
      </c>
      <c r="E297" s="7">
        <v>10</v>
      </c>
      <c r="F297" s="7">
        <v>8.1</v>
      </c>
      <c r="G297" s="7">
        <f t="shared" si="33"/>
        <v>57.000000000000014</v>
      </c>
      <c r="H297" s="1" t="str">
        <f t="shared" si="34"/>
        <v>Sunday</v>
      </c>
      <c r="I297" s="102" t="str">
        <f t="shared" si="35"/>
        <v>Week 5</v>
      </c>
    </row>
    <row r="298" spans="2:9" ht="26.25" customHeight="1">
      <c r="B298" s="99">
        <v>46271</v>
      </c>
      <c r="C298" s="1" t="s">
        <v>77</v>
      </c>
      <c r="D298" s="8">
        <v>6</v>
      </c>
      <c r="E298" s="7">
        <v>14</v>
      </c>
      <c r="F298" s="7">
        <v>12.5</v>
      </c>
      <c r="G298" s="7">
        <f t="shared" si="33"/>
        <v>9</v>
      </c>
      <c r="H298" s="1" t="str">
        <f t="shared" si="34"/>
        <v>Sunday</v>
      </c>
      <c r="I298" s="102" t="str">
        <f t="shared" si="35"/>
        <v>Week 5</v>
      </c>
    </row>
    <row r="299" spans="2:9" ht="26.25" customHeight="1">
      <c r="B299" s="99">
        <v>46271</v>
      </c>
      <c r="C299" s="1" t="s">
        <v>25</v>
      </c>
      <c r="D299" s="8">
        <v>12</v>
      </c>
      <c r="E299" s="7">
        <v>270</v>
      </c>
      <c r="F299" s="7">
        <v>257</v>
      </c>
      <c r="G299" s="7">
        <f t="shared" si="33"/>
        <v>156</v>
      </c>
      <c r="H299" s="1" t="str">
        <f t="shared" si="34"/>
        <v>Sunday</v>
      </c>
      <c r="I299" s="102" t="str">
        <f t="shared" si="35"/>
        <v>Week 5</v>
      </c>
    </row>
    <row r="300" spans="2:9" ht="26.25" customHeight="1">
      <c r="B300" s="99">
        <v>46271</v>
      </c>
      <c r="C300" s="1" t="s">
        <v>54</v>
      </c>
      <c r="D300" s="8">
        <v>15</v>
      </c>
      <c r="E300" s="7">
        <v>25</v>
      </c>
      <c r="F300" s="7">
        <v>22.25</v>
      </c>
      <c r="G300" s="7">
        <f t="shared" si="33"/>
        <v>41.25</v>
      </c>
      <c r="H300" s="1" t="str">
        <f t="shared" si="34"/>
        <v>Sunday</v>
      </c>
      <c r="I300" s="102" t="str">
        <f t="shared" si="35"/>
        <v>Week 5</v>
      </c>
    </row>
    <row r="301" spans="2:9" ht="26.25" customHeight="1">
      <c r="B301" s="99">
        <v>46271</v>
      </c>
      <c r="C301" s="1" t="s">
        <v>53</v>
      </c>
      <c r="D301" s="8">
        <v>6</v>
      </c>
      <c r="E301" s="7">
        <v>35</v>
      </c>
      <c r="F301" s="7">
        <v>29</v>
      </c>
      <c r="G301" s="7">
        <f t="shared" si="33"/>
        <v>36</v>
      </c>
      <c r="H301" s="1" t="str">
        <f t="shared" si="34"/>
        <v>Sunday</v>
      </c>
      <c r="I301" s="102" t="str">
        <f t="shared" si="35"/>
        <v>Week 5</v>
      </c>
    </row>
    <row r="302" spans="2:9" ht="26.25" customHeight="1">
      <c r="B302" s="99">
        <v>46271</v>
      </c>
      <c r="C302" s="1" t="s">
        <v>133</v>
      </c>
      <c r="D302" s="8">
        <v>1</v>
      </c>
      <c r="E302" s="7">
        <v>530</v>
      </c>
      <c r="F302" s="7">
        <v>466</v>
      </c>
      <c r="G302" s="7">
        <f t="shared" si="33"/>
        <v>64</v>
      </c>
      <c r="H302" s="1" t="str">
        <f t="shared" si="34"/>
        <v>Sunday</v>
      </c>
      <c r="I302" s="102" t="str">
        <f t="shared" si="35"/>
        <v>Week 5</v>
      </c>
    </row>
    <row r="303" spans="2:9" ht="26.25" customHeight="1">
      <c r="B303" s="99">
        <v>46271</v>
      </c>
      <c r="C303" s="1" t="s">
        <v>134</v>
      </c>
      <c r="D303" s="8">
        <v>1</v>
      </c>
      <c r="E303" s="7">
        <v>120</v>
      </c>
      <c r="F303" s="7">
        <v>89</v>
      </c>
      <c r="G303" s="7">
        <f t="shared" si="33"/>
        <v>31</v>
      </c>
      <c r="H303" s="1" t="str">
        <f t="shared" si="34"/>
        <v>Sunday</v>
      </c>
      <c r="I303" s="102" t="str">
        <f t="shared" si="35"/>
        <v>Week 5</v>
      </c>
    </row>
    <row r="304" spans="2:9" ht="26.25" customHeight="1">
      <c r="B304" s="99">
        <v>46271</v>
      </c>
      <c r="C304" s="1" t="s">
        <v>79</v>
      </c>
      <c r="D304" s="8">
        <v>2</v>
      </c>
      <c r="E304" s="7">
        <v>250</v>
      </c>
      <c r="F304" s="7">
        <v>210</v>
      </c>
      <c r="G304" s="7">
        <f t="shared" si="33"/>
        <v>80</v>
      </c>
      <c r="H304" s="1" t="str">
        <f t="shared" si="34"/>
        <v>Sunday</v>
      </c>
      <c r="I304" s="102" t="str">
        <f t="shared" si="35"/>
        <v>Week 5</v>
      </c>
    </row>
    <row r="305" spans="2:9" ht="26.25" customHeight="1">
      <c r="B305" s="99">
        <v>46271</v>
      </c>
      <c r="C305" s="1" t="s">
        <v>84</v>
      </c>
      <c r="D305" s="8">
        <v>5</v>
      </c>
      <c r="E305" s="7">
        <v>10</v>
      </c>
      <c r="F305" s="7">
        <v>9.1999999999999993</v>
      </c>
      <c r="G305" s="7">
        <f t="shared" si="33"/>
        <v>4.0000000000000036</v>
      </c>
      <c r="H305" s="1" t="str">
        <f t="shared" si="34"/>
        <v>Sunday</v>
      </c>
      <c r="I305" s="102" t="str">
        <f t="shared" si="35"/>
        <v>Week 5</v>
      </c>
    </row>
    <row r="306" spans="2:9" ht="26.25" customHeight="1">
      <c r="B306" s="99">
        <v>46272</v>
      </c>
      <c r="C306" s="1" t="s">
        <v>34</v>
      </c>
      <c r="D306" s="8">
        <v>4</v>
      </c>
      <c r="E306" s="7">
        <v>550</v>
      </c>
      <c r="F306" s="7">
        <v>523</v>
      </c>
      <c r="G306" s="7">
        <f t="shared" si="33"/>
        <v>108</v>
      </c>
      <c r="H306" s="1" t="str">
        <f t="shared" si="34"/>
        <v>Monday</v>
      </c>
      <c r="I306" s="102" t="str">
        <f t="shared" si="35"/>
        <v>Week 6</v>
      </c>
    </row>
    <row r="307" spans="2:9" ht="26.25" customHeight="1">
      <c r="B307" s="99">
        <v>46272</v>
      </c>
      <c r="C307" s="1" t="s">
        <v>156</v>
      </c>
      <c r="D307" s="8">
        <v>6</v>
      </c>
      <c r="E307" s="7">
        <v>110</v>
      </c>
      <c r="F307" s="7">
        <v>91</v>
      </c>
      <c r="G307" s="7">
        <f t="shared" si="33"/>
        <v>114</v>
      </c>
      <c r="H307" s="1" t="str">
        <f t="shared" si="34"/>
        <v>Monday</v>
      </c>
      <c r="I307" s="102" t="str">
        <f t="shared" si="35"/>
        <v>Week 6</v>
      </c>
    </row>
    <row r="308" spans="2:9" ht="26.25" customHeight="1">
      <c r="B308" s="99">
        <v>46272</v>
      </c>
      <c r="C308" s="1" t="s">
        <v>117</v>
      </c>
      <c r="D308" s="8">
        <v>2</v>
      </c>
      <c r="E308" s="7">
        <v>210</v>
      </c>
      <c r="F308" s="7">
        <v>185</v>
      </c>
      <c r="G308" s="7">
        <f t="shared" si="33"/>
        <v>50</v>
      </c>
      <c r="H308" s="1" t="str">
        <f t="shared" si="34"/>
        <v>Monday</v>
      </c>
      <c r="I308" s="102" t="str">
        <f t="shared" si="35"/>
        <v>Week 6</v>
      </c>
    </row>
    <row r="309" spans="2:9" ht="26.25" customHeight="1">
      <c r="B309" s="99">
        <v>46272</v>
      </c>
      <c r="C309" s="1" t="s">
        <v>118</v>
      </c>
      <c r="D309" s="8">
        <v>2</v>
      </c>
      <c r="E309" s="7">
        <v>110</v>
      </c>
      <c r="F309" s="7">
        <v>90</v>
      </c>
      <c r="G309" s="7">
        <f t="shared" si="33"/>
        <v>40</v>
      </c>
      <c r="H309" s="1" t="str">
        <f t="shared" si="34"/>
        <v>Monday</v>
      </c>
      <c r="I309" s="102" t="str">
        <f t="shared" si="35"/>
        <v>Week 6</v>
      </c>
    </row>
    <row r="310" spans="2:9" ht="26.25" customHeight="1">
      <c r="B310" s="99">
        <v>46272</v>
      </c>
      <c r="C310" s="1" t="s">
        <v>157</v>
      </c>
      <c r="D310" s="8">
        <v>1</v>
      </c>
      <c r="E310" s="7">
        <v>1200</v>
      </c>
      <c r="F310" s="7">
        <v>980</v>
      </c>
      <c r="G310" s="7">
        <f t="shared" si="33"/>
        <v>220</v>
      </c>
      <c r="H310" s="1" t="str">
        <f t="shared" si="34"/>
        <v>Monday</v>
      </c>
      <c r="I310" s="102" t="str">
        <f t="shared" si="35"/>
        <v>Week 6</v>
      </c>
    </row>
    <row r="311" spans="2:9" ht="26.25" customHeight="1">
      <c r="B311" s="99">
        <v>46272</v>
      </c>
      <c r="C311" s="1" t="s">
        <v>62</v>
      </c>
      <c r="D311" s="8">
        <v>1</v>
      </c>
      <c r="E311" s="7">
        <v>360</v>
      </c>
      <c r="F311" s="7">
        <v>320</v>
      </c>
      <c r="G311" s="7">
        <f t="shared" si="33"/>
        <v>40</v>
      </c>
      <c r="H311" s="1" t="str">
        <f t="shared" si="34"/>
        <v>Monday</v>
      </c>
      <c r="I311" s="102" t="str">
        <f t="shared" si="35"/>
        <v>Week 6</v>
      </c>
    </row>
    <row r="312" spans="2:9" ht="26.25" customHeight="1">
      <c r="B312" s="99">
        <v>46272</v>
      </c>
      <c r="C312" s="1" t="s">
        <v>79</v>
      </c>
      <c r="D312" s="8">
        <v>2</v>
      </c>
      <c r="E312" s="7">
        <v>260</v>
      </c>
      <c r="F312" s="7">
        <v>192</v>
      </c>
      <c r="G312" s="7">
        <f t="shared" si="33"/>
        <v>136</v>
      </c>
      <c r="H312" s="1" t="str">
        <f t="shared" si="34"/>
        <v>Monday</v>
      </c>
      <c r="I312" s="102" t="str">
        <f t="shared" si="35"/>
        <v>Week 6</v>
      </c>
    </row>
    <row r="313" spans="2:9" ht="26.25" customHeight="1">
      <c r="B313" s="99">
        <v>46272</v>
      </c>
      <c r="C313" s="1" t="s">
        <v>158</v>
      </c>
      <c r="D313" s="8">
        <v>1</v>
      </c>
      <c r="E313" s="7">
        <v>140</v>
      </c>
      <c r="F313" s="7">
        <v>119</v>
      </c>
      <c r="G313" s="7">
        <f t="shared" si="33"/>
        <v>21</v>
      </c>
      <c r="H313" s="1" t="str">
        <f t="shared" si="34"/>
        <v>Monday</v>
      </c>
      <c r="I313" s="102" t="str">
        <f t="shared" si="35"/>
        <v>Week 6</v>
      </c>
    </row>
    <row r="314" spans="2:9" ht="26.25" customHeight="1">
      <c r="B314" s="99">
        <v>46272</v>
      </c>
      <c r="C314" s="1" t="s">
        <v>159</v>
      </c>
      <c r="D314" s="8">
        <v>2</v>
      </c>
      <c r="E314" s="7">
        <v>60</v>
      </c>
      <c r="F314" s="7">
        <v>33</v>
      </c>
      <c r="G314" s="7">
        <f t="shared" si="33"/>
        <v>54</v>
      </c>
      <c r="H314" s="1" t="str">
        <f t="shared" si="34"/>
        <v>Monday</v>
      </c>
      <c r="I314" s="102" t="str">
        <f t="shared" si="35"/>
        <v>Week 6</v>
      </c>
    </row>
    <row r="315" spans="2:9" ht="26.25" customHeight="1">
      <c r="B315" s="99">
        <v>46273</v>
      </c>
      <c r="C315" s="1" t="s">
        <v>58</v>
      </c>
      <c r="D315" s="1">
        <v>3</v>
      </c>
      <c r="E315" s="7">
        <v>50</v>
      </c>
      <c r="F315" s="7">
        <v>42</v>
      </c>
      <c r="G315" s="7">
        <f t="shared" ref="G315:G346" si="36">(E315-F315)*D315</f>
        <v>24</v>
      </c>
      <c r="H315" s="1" t="str">
        <f t="shared" ref="H315:H346" si="37">TEXT(B315,"dddd")</f>
        <v>Tuesday</v>
      </c>
      <c r="I315" s="102" t="str">
        <f t="shared" ref="I315:I346" si="38">"Week " &amp; (INT((B315 - DATE(2026,8,3)) / 7) + 1)</f>
        <v>Week 6</v>
      </c>
    </row>
    <row r="316" spans="2:9" ht="26.25" customHeight="1">
      <c r="B316" s="99">
        <v>46273</v>
      </c>
      <c r="C316" s="1" t="s">
        <v>157</v>
      </c>
      <c r="D316" s="1">
        <v>2</v>
      </c>
      <c r="E316" s="7">
        <v>980</v>
      </c>
      <c r="F316" s="7">
        <v>860</v>
      </c>
      <c r="G316" s="7">
        <f t="shared" si="36"/>
        <v>240</v>
      </c>
      <c r="H316" s="1" t="str">
        <f t="shared" si="37"/>
        <v>Tuesday</v>
      </c>
      <c r="I316" s="102" t="str">
        <f t="shared" si="38"/>
        <v>Week 6</v>
      </c>
    </row>
    <row r="317" spans="2:9" ht="26.25" customHeight="1">
      <c r="B317" s="99">
        <v>46273</v>
      </c>
      <c r="C317" s="1" t="s">
        <v>98</v>
      </c>
      <c r="D317" s="1">
        <v>1</v>
      </c>
      <c r="E317" s="7">
        <v>320</v>
      </c>
      <c r="F317" s="7">
        <v>290</v>
      </c>
      <c r="G317" s="7">
        <f t="shared" si="36"/>
        <v>30</v>
      </c>
      <c r="H317" s="1" t="str">
        <f t="shared" si="37"/>
        <v>Tuesday</v>
      </c>
      <c r="I317" s="102" t="str">
        <f t="shared" si="38"/>
        <v>Week 6</v>
      </c>
    </row>
    <row r="318" spans="2:9" ht="26.25" customHeight="1">
      <c r="B318" s="99">
        <v>46273</v>
      </c>
      <c r="C318" s="1" t="s">
        <v>100</v>
      </c>
      <c r="D318" s="1">
        <v>2</v>
      </c>
      <c r="E318" s="7">
        <v>110</v>
      </c>
      <c r="F318" s="7">
        <v>101</v>
      </c>
      <c r="G318" s="7">
        <f t="shared" si="36"/>
        <v>18</v>
      </c>
      <c r="H318" s="1" t="str">
        <f t="shared" si="37"/>
        <v>Tuesday</v>
      </c>
      <c r="I318" s="102" t="str">
        <f t="shared" si="38"/>
        <v>Week 6</v>
      </c>
    </row>
    <row r="319" spans="2:9" ht="26.25" customHeight="1">
      <c r="B319" s="99">
        <v>46273</v>
      </c>
      <c r="C319" s="1" t="s">
        <v>30</v>
      </c>
      <c r="D319" s="1">
        <v>12</v>
      </c>
      <c r="E319" s="7">
        <v>10</v>
      </c>
      <c r="F319" s="7">
        <v>9.1999999999999993</v>
      </c>
      <c r="G319" s="7">
        <f t="shared" si="36"/>
        <v>9.6000000000000085</v>
      </c>
      <c r="H319" s="1" t="str">
        <f t="shared" si="37"/>
        <v>Tuesday</v>
      </c>
      <c r="I319" s="102" t="str">
        <f t="shared" si="38"/>
        <v>Week 6</v>
      </c>
    </row>
    <row r="320" spans="2:9" ht="26.25" customHeight="1">
      <c r="B320" s="99">
        <v>46273</v>
      </c>
      <c r="C320" s="1" t="s">
        <v>160</v>
      </c>
      <c r="D320" s="1">
        <v>2</v>
      </c>
      <c r="E320" s="7">
        <v>8500</v>
      </c>
      <c r="F320" s="7">
        <v>8300</v>
      </c>
      <c r="G320" s="7">
        <f t="shared" si="36"/>
        <v>400</v>
      </c>
      <c r="H320" s="1" t="str">
        <f t="shared" si="37"/>
        <v>Tuesday</v>
      </c>
      <c r="I320" s="102" t="str">
        <f t="shared" si="38"/>
        <v>Week 6</v>
      </c>
    </row>
    <row r="321" spans="2:9" ht="26.25" customHeight="1">
      <c r="B321" s="99">
        <v>46273</v>
      </c>
      <c r="C321" s="1" t="s">
        <v>32</v>
      </c>
      <c r="D321" s="1">
        <v>4</v>
      </c>
      <c r="E321" s="7">
        <v>60</v>
      </c>
      <c r="F321" s="7">
        <v>52</v>
      </c>
      <c r="G321" s="7">
        <f t="shared" si="36"/>
        <v>32</v>
      </c>
      <c r="H321" s="1" t="str">
        <f t="shared" si="37"/>
        <v>Tuesday</v>
      </c>
      <c r="I321" s="102" t="str">
        <f t="shared" si="38"/>
        <v>Week 6</v>
      </c>
    </row>
    <row r="322" spans="2:9" ht="26.25" customHeight="1">
      <c r="B322" s="99">
        <v>46274</v>
      </c>
      <c r="C322" s="1" t="s">
        <v>76</v>
      </c>
      <c r="D322" s="1">
        <v>20</v>
      </c>
      <c r="E322" s="7">
        <v>160</v>
      </c>
      <c r="F322" s="7">
        <v>147</v>
      </c>
      <c r="G322" s="7">
        <f t="shared" si="36"/>
        <v>260</v>
      </c>
      <c r="H322" s="1" t="str">
        <f t="shared" si="37"/>
        <v>Wednesday</v>
      </c>
      <c r="I322" s="102" t="str">
        <f t="shared" si="38"/>
        <v>Week 6</v>
      </c>
    </row>
    <row r="323" spans="2:9" ht="26.25" customHeight="1">
      <c r="B323" s="99">
        <v>46274</v>
      </c>
      <c r="C323" s="1" t="s">
        <v>34</v>
      </c>
      <c r="D323" s="1">
        <v>3</v>
      </c>
      <c r="E323" s="7">
        <v>550</v>
      </c>
      <c r="F323" s="7">
        <v>510</v>
      </c>
      <c r="G323" s="7">
        <f t="shared" si="36"/>
        <v>120</v>
      </c>
      <c r="H323" s="1" t="str">
        <f t="shared" si="37"/>
        <v>Wednesday</v>
      </c>
      <c r="I323" s="102" t="str">
        <f t="shared" si="38"/>
        <v>Week 6</v>
      </c>
    </row>
    <row r="324" spans="2:9" ht="26.25" customHeight="1">
      <c r="B324" s="99">
        <v>46274</v>
      </c>
      <c r="C324" s="1" t="s">
        <v>36</v>
      </c>
      <c r="D324" s="1">
        <v>4</v>
      </c>
      <c r="E324" s="7">
        <v>110</v>
      </c>
      <c r="F324" s="7">
        <v>108</v>
      </c>
      <c r="G324" s="7">
        <f t="shared" si="36"/>
        <v>8</v>
      </c>
      <c r="H324" s="1" t="str">
        <f t="shared" si="37"/>
        <v>Wednesday</v>
      </c>
      <c r="I324" s="102" t="str">
        <f t="shared" si="38"/>
        <v>Week 6</v>
      </c>
    </row>
    <row r="325" spans="2:9" ht="26.25" customHeight="1">
      <c r="B325" s="99">
        <v>46274</v>
      </c>
      <c r="C325" s="1" t="s">
        <v>37</v>
      </c>
      <c r="D325" s="1">
        <v>2</v>
      </c>
      <c r="E325" s="7">
        <v>190</v>
      </c>
      <c r="F325" s="7">
        <v>170</v>
      </c>
      <c r="G325" s="7">
        <f t="shared" si="36"/>
        <v>40</v>
      </c>
      <c r="H325" s="1" t="str">
        <f t="shared" si="37"/>
        <v>Wednesday</v>
      </c>
      <c r="I325" s="102" t="str">
        <f t="shared" si="38"/>
        <v>Week 6</v>
      </c>
    </row>
    <row r="326" spans="2:9" ht="26.25" customHeight="1">
      <c r="B326" s="99">
        <v>46274</v>
      </c>
      <c r="C326" s="1" t="s">
        <v>38</v>
      </c>
      <c r="D326" s="1">
        <v>1</v>
      </c>
      <c r="E326" s="7">
        <v>60</v>
      </c>
      <c r="F326" s="7">
        <v>56</v>
      </c>
      <c r="G326" s="7">
        <f t="shared" si="36"/>
        <v>4</v>
      </c>
      <c r="H326" s="1" t="str">
        <f t="shared" si="37"/>
        <v>Wednesday</v>
      </c>
      <c r="I326" s="102" t="str">
        <f t="shared" si="38"/>
        <v>Week 6</v>
      </c>
    </row>
    <row r="327" spans="2:9" ht="26.25" customHeight="1">
      <c r="B327" s="99">
        <v>46274</v>
      </c>
      <c r="C327" s="1" t="s">
        <v>30</v>
      </c>
      <c r="D327" s="1">
        <v>5</v>
      </c>
      <c r="E327" s="7">
        <v>10</v>
      </c>
      <c r="F327" s="7">
        <v>9.5</v>
      </c>
      <c r="G327" s="7">
        <f t="shared" si="36"/>
        <v>2.5</v>
      </c>
      <c r="H327" s="1" t="str">
        <f t="shared" si="37"/>
        <v>Wednesday</v>
      </c>
      <c r="I327" s="102" t="str">
        <f t="shared" si="38"/>
        <v>Week 6</v>
      </c>
    </row>
    <row r="328" spans="2:9" ht="26.25" customHeight="1">
      <c r="B328" s="99">
        <v>46274</v>
      </c>
      <c r="C328" s="1" t="s">
        <v>39</v>
      </c>
      <c r="D328" s="1">
        <v>12</v>
      </c>
      <c r="E328" s="7">
        <v>10</v>
      </c>
      <c r="F328" s="7">
        <v>9</v>
      </c>
      <c r="G328" s="7">
        <f t="shared" si="36"/>
        <v>12</v>
      </c>
      <c r="H328" s="1" t="str">
        <f t="shared" si="37"/>
        <v>Wednesday</v>
      </c>
      <c r="I328" s="102" t="str">
        <f t="shared" si="38"/>
        <v>Week 6</v>
      </c>
    </row>
    <row r="329" spans="2:9" ht="26.25" customHeight="1">
      <c r="B329" s="99">
        <v>46274</v>
      </c>
      <c r="C329" s="1" t="s">
        <v>84</v>
      </c>
      <c r="D329" s="1">
        <v>10</v>
      </c>
      <c r="E329" s="7">
        <v>20</v>
      </c>
      <c r="F329" s="7">
        <v>16.5</v>
      </c>
      <c r="G329" s="7">
        <f t="shared" si="36"/>
        <v>35</v>
      </c>
      <c r="H329" s="1" t="str">
        <f t="shared" si="37"/>
        <v>Wednesday</v>
      </c>
      <c r="I329" s="102" t="str">
        <f t="shared" si="38"/>
        <v>Week 6</v>
      </c>
    </row>
    <row r="330" spans="2:9" ht="26.25" customHeight="1">
      <c r="B330" s="99">
        <v>46275</v>
      </c>
      <c r="C330" s="1" t="s">
        <v>161</v>
      </c>
      <c r="D330" s="1">
        <v>2</v>
      </c>
      <c r="E330" s="7">
        <v>220</v>
      </c>
      <c r="F330" s="7">
        <v>190</v>
      </c>
      <c r="G330" s="7">
        <f t="shared" si="36"/>
        <v>60</v>
      </c>
      <c r="H330" s="1" t="str">
        <f t="shared" si="37"/>
        <v>Thursday</v>
      </c>
      <c r="I330" s="102" t="str">
        <f t="shared" si="38"/>
        <v>Week 6</v>
      </c>
    </row>
    <row r="331" spans="2:9" ht="26.25" customHeight="1">
      <c r="B331" s="99">
        <v>46275</v>
      </c>
      <c r="C331" s="1" t="s">
        <v>25</v>
      </c>
      <c r="D331" s="1">
        <v>6</v>
      </c>
      <c r="E331" s="7">
        <v>270</v>
      </c>
      <c r="F331" s="7">
        <v>263</v>
      </c>
      <c r="G331" s="7">
        <f t="shared" si="36"/>
        <v>42</v>
      </c>
      <c r="H331" s="1" t="str">
        <f t="shared" si="37"/>
        <v>Thursday</v>
      </c>
      <c r="I331" s="102" t="str">
        <f t="shared" si="38"/>
        <v>Week 6</v>
      </c>
    </row>
    <row r="332" spans="2:9" ht="26.25" customHeight="1">
      <c r="B332" s="99">
        <v>46275</v>
      </c>
      <c r="C332" s="1" t="s">
        <v>26</v>
      </c>
      <c r="D332" s="1">
        <v>1</v>
      </c>
      <c r="E332" s="7">
        <v>1100</v>
      </c>
      <c r="F332" s="7">
        <v>960</v>
      </c>
      <c r="G332" s="7">
        <f t="shared" si="36"/>
        <v>140</v>
      </c>
      <c r="H332" s="1" t="str">
        <f t="shared" si="37"/>
        <v>Thursday</v>
      </c>
      <c r="I332" s="102" t="str">
        <f t="shared" si="38"/>
        <v>Week 6</v>
      </c>
    </row>
    <row r="333" spans="2:9" ht="26.25" customHeight="1">
      <c r="B333" s="99">
        <v>46275</v>
      </c>
      <c r="C333" s="1" t="s">
        <v>27</v>
      </c>
      <c r="D333" s="1">
        <v>2</v>
      </c>
      <c r="E333" s="7">
        <v>260</v>
      </c>
      <c r="F333" s="7">
        <v>234</v>
      </c>
      <c r="G333" s="7">
        <f t="shared" si="36"/>
        <v>52</v>
      </c>
      <c r="H333" s="1" t="str">
        <f t="shared" si="37"/>
        <v>Thursday</v>
      </c>
      <c r="I333" s="102" t="str">
        <f t="shared" si="38"/>
        <v>Week 6</v>
      </c>
    </row>
    <row r="334" spans="2:9" ht="26.25" customHeight="1">
      <c r="B334" s="99">
        <v>46275</v>
      </c>
      <c r="C334" s="1" t="s">
        <v>28</v>
      </c>
      <c r="D334" s="1">
        <v>1</v>
      </c>
      <c r="E334" s="7">
        <v>1300</v>
      </c>
      <c r="F334" s="7">
        <v>1180</v>
      </c>
      <c r="G334" s="7">
        <f t="shared" si="36"/>
        <v>120</v>
      </c>
      <c r="H334" s="1" t="str">
        <f t="shared" si="37"/>
        <v>Thursday</v>
      </c>
      <c r="I334" s="102" t="str">
        <f t="shared" si="38"/>
        <v>Week 6</v>
      </c>
    </row>
    <row r="335" spans="2:9" ht="26.25" customHeight="1">
      <c r="B335" s="99">
        <v>46275</v>
      </c>
      <c r="C335" s="1" t="s">
        <v>29</v>
      </c>
      <c r="D335" s="1">
        <v>4</v>
      </c>
      <c r="E335" s="7">
        <v>40</v>
      </c>
      <c r="F335" s="7">
        <v>33</v>
      </c>
      <c r="G335" s="7">
        <f t="shared" si="36"/>
        <v>28</v>
      </c>
      <c r="H335" s="1" t="str">
        <f t="shared" si="37"/>
        <v>Thursday</v>
      </c>
      <c r="I335" s="102" t="str">
        <f t="shared" si="38"/>
        <v>Week 6</v>
      </c>
    </row>
    <row r="336" spans="2:9" ht="26.25" customHeight="1">
      <c r="B336" s="99">
        <v>46275</v>
      </c>
      <c r="C336" s="1" t="s">
        <v>30</v>
      </c>
      <c r="D336" s="1">
        <v>8</v>
      </c>
      <c r="E336" s="7">
        <v>10</v>
      </c>
      <c r="F336" s="7">
        <v>9.5</v>
      </c>
      <c r="G336" s="7">
        <f t="shared" si="36"/>
        <v>4</v>
      </c>
      <c r="H336" s="1" t="str">
        <f t="shared" si="37"/>
        <v>Thursday</v>
      </c>
      <c r="I336" s="102" t="str">
        <f t="shared" si="38"/>
        <v>Week 6</v>
      </c>
    </row>
    <row r="337" spans="2:9" ht="26.25" customHeight="1">
      <c r="B337" s="99">
        <v>46276</v>
      </c>
      <c r="C337" s="1" t="s">
        <v>31</v>
      </c>
      <c r="D337" s="1">
        <v>1</v>
      </c>
      <c r="E337" s="7">
        <v>350</v>
      </c>
      <c r="F337" s="7">
        <v>280</v>
      </c>
      <c r="G337" s="7">
        <f t="shared" si="36"/>
        <v>70</v>
      </c>
      <c r="H337" s="1" t="str">
        <f t="shared" si="37"/>
        <v>Friday</v>
      </c>
      <c r="I337" s="102" t="str">
        <f t="shared" si="38"/>
        <v>Week 6</v>
      </c>
    </row>
    <row r="338" spans="2:9" ht="26.25" customHeight="1">
      <c r="B338" s="99">
        <v>46276</v>
      </c>
      <c r="C338" s="1" t="s">
        <v>32</v>
      </c>
      <c r="D338" s="1">
        <v>6</v>
      </c>
      <c r="E338" s="7">
        <v>60</v>
      </c>
      <c r="F338" s="7">
        <v>52</v>
      </c>
      <c r="G338" s="7">
        <f t="shared" si="36"/>
        <v>48</v>
      </c>
      <c r="H338" s="1" t="str">
        <f t="shared" si="37"/>
        <v>Friday</v>
      </c>
      <c r="I338" s="102" t="str">
        <f t="shared" si="38"/>
        <v>Week 6</v>
      </c>
    </row>
    <row r="339" spans="2:9" ht="26.25" customHeight="1">
      <c r="B339" s="99">
        <v>46276</v>
      </c>
      <c r="C339" s="1" t="s">
        <v>33</v>
      </c>
      <c r="D339" s="1">
        <v>3</v>
      </c>
      <c r="E339" s="7">
        <v>60</v>
      </c>
      <c r="F339" s="7">
        <v>54</v>
      </c>
      <c r="G339" s="7">
        <f t="shared" si="36"/>
        <v>18</v>
      </c>
      <c r="H339" s="1" t="str">
        <f t="shared" si="37"/>
        <v>Friday</v>
      </c>
      <c r="I339" s="102" t="str">
        <f t="shared" si="38"/>
        <v>Week 6</v>
      </c>
    </row>
    <row r="340" spans="2:9" ht="26.25" customHeight="1">
      <c r="B340" s="99">
        <v>46276</v>
      </c>
      <c r="C340" s="1" t="s">
        <v>34</v>
      </c>
      <c r="D340" s="1">
        <v>6</v>
      </c>
      <c r="E340" s="7">
        <v>550</v>
      </c>
      <c r="F340" s="7">
        <v>510</v>
      </c>
      <c r="G340" s="7">
        <f t="shared" si="36"/>
        <v>240</v>
      </c>
      <c r="H340" s="1" t="str">
        <f t="shared" si="37"/>
        <v>Friday</v>
      </c>
      <c r="I340" s="102" t="str">
        <f t="shared" si="38"/>
        <v>Week 6</v>
      </c>
    </row>
    <row r="341" spans="2:9" ht="26.25" customHeight="1">
      <c r="B341" s="99">
        <v>46276</v>
      </c>
      <c r="C341" s="1" t="s">
        <v>35</v>
      </c>
      <c r="D341" s="1">
        <v>6</v>
      </c>
      <c r="E341" s="7">
        <v>90</v>
      </c>
      <c r="F341" s="7">
        <v>81</v>
      </c>
      <c r="G341" s="7">
        <f t="shared" si="36"/>
        <v>54</v>
      </c>
      <c r="H341" s="1" t="str">
        <f t="shared" si="37"/>
        <v>Friday</v>
      </c>
      <c r="I341" s="102" t="str">
        <f t="shared" si="38"/>
        <v>Week 6</v>
      </c>
    </row>
    <row r="342" spans="2:9" ht="26.25" customHeight="1">
      <c r="B342" s="99">
        <v>46276</v>
      </c>
      <c r="C342" s="1" t="s">
        <v>36</v>
      </c>
      <c r="D342" s="1">
        <v>4</v>
      </c>
      <c r="E342" s="7">
        <v>110</v>
      </c>
      <c r="F342" s="7">
        <v>98</v>
      </c>
      <c r="G342" s="7">
        <f t="shared" si="36"/>
        <v>48</v>
      </c>
      <c r="H342" s="1" t="str">
        <f t="shared" si="37"/>
        <v>Friday</v>
      </c>
      <c r="I342" s="102" t="str">
        <f t="shared" si="38"/>
        <v>Week 6</v>
      </c>
    </row>
    <row r="343" spans="2:9" ht="26.25" customHeight="1">
      <c r="B343" s="99">
        <v>46276</v>
      </c>
      <c r="C343" s="1" t="s">
        <v>37</v>
      </c>
      <c r="D343" s="1">
        <v>2</v>
      </c>
      <c r="E343" s="7">
        <v>190</v>
      </c>
      <c r="F343" s="7">
        <v>170</v>
      </c>
      <c r="G343" s="7">
        <f t="shared" si="36"/>
        <v>40</v>
      </c>
      <c r="H343" s="1" t="str">
        <f t="shared" si="37"/>
        <v>Friday</v>
      </c>
      <c r="I343" s="102" t="str">
        <f t="shared" si="38"/>
        <v>Week 6</v>
      </c>
    </row>
    <row r="344" spans="2:9" ht="26.25" customHeight="1">
      <c r="B344" s="99">
        <v>46276</v>
      </c>
      <c r="C344" s="1" t="s">
        <v>38</v>
      </c>
      <c r="D344" s="1">
        <v>2</v>
      </c>
      <c r="E344" s="7">
        <v>60</v>
      </c>
      <c r="F344" s="7">
        <v>56</v>
      </c>
      <c r="G344" s="7">
        <f t="shared" si="36"/>
        <v>8</v>
      </c>
      <c r="H344" s="1" t="str">
        <f t="shared" si="37"/>
        <v>Friday</v>
      </c>
      <c r="I344" s="102" t="str">
        <f t="shared" si="38"/>
        <v>Week 6</v>
      </c>
    </row>
    <row r="345" spans="2:9" ht="26.25" customHeight="1">
      <c r="B345" s="99">
        <v>46277</v>
      </c>
      <c r="C345" s="1" t="s">
        <v>32</v>
      </c>
      <c r="D345" s="1">
        <v>3</v>
      </c>
      <c r="E345" s="7">
        <v>60</v>
      </c>
      <c r="F345" s="7">
        <v>52</v>
      </c>
      <c r="G345" s="7">
        <f t="shared" si="36"/>
        <v>24</v>
      </c>
      <c r="H345" s="1" t="str">
        <f t="shared" si="37"/>
        <v>Saturday</v>
      </c>
      <c r="I345" s="102" t="str">
        <f t="shared" si="38"/>
        <v>Week 6</v>
      </c>
    </row>
    <row r="346" spans="2:9" ht="26.25" customHeight="1">
      <c r="B346" s="99">
        <v>46277</v>
      </c>
      <c r="C346" s="1" t="s">
        <v>39</v>
      </c>
      <c r="D346" s="1">
        <v>7</v>
      </c>
      <c r="E346" s="7">
        <v>10</v>
      </c>
      <c r="F346" s="7">
        <v>9.5</v>
      </c>
      <c r="G346" s="7">
        <f t="shared" si="36"/>
        <v>3.5</v>
      </c>
      <c r="H346" s="1" t="str">
        <f t="shared" si="37"/>
        <v>Saturday</v>
      </c>
      <c r="I346" s="102" t="str">
        <f t="shared" si="38"/>
        <v>Week 6</v>
      </c>
    </row>
    <row r="347" spans="2:9" ht="26.25" customHeight="1">
      <c r="B347" s="99">
        <v>46277</v>
      </c>
      <c r="C347" s="1" t="s">
        <v>40</v>
      </c>
      <c r="D347" s="1">
        <v>1</v>
      </c>
      <c r="E347" s="7">
        <v>700</v>
      </c>
      <c r="F347" s="7">
        <v>570</v>
      </c>
      <c r="G347" s="7">
        <f t="shared" ref="G347:G378" si="39">(E347-F347)*D347</f>
        <v>130</v>
      </c>
      <c r="H347" s="1" t="str">
        <f t="shared" ref="H347:H372" si="40">TEXT(B347,"dddd")</f>
        <v>Saturday</v>
      </c>
      <c r="I347" s="102" t="str">
        <f t="shared" ref="I347:I372" si="41">"Week " &amp; (INT((B347 - DATE(2026,8,3)) / 7) + 1)</f>
        <v>Week 6</v>
      </c>
    </row>
    <row r="348" spans="2:9" ht="26.25" customHeight="1">
      <c r="B348" s="99">
        <v>46277</v>
      </c>
      <c r="C348" s="1" t="s">
        <v>41</v>
      </c>
      <c r="D348" s="1">
        <v>2</v>
      </c>
      <c r="E348" s="7">
        <v>325</v>
      </c>
      <c r="F348" s="7">
        <v>308</v>
      </c>
      <c r="G348" s="7">
        <f t="shared" si="39"/>
        <v>34</v>
      </c>
      <c r="H348" s="1" t="str">
        <f t="shared" si="40"/>
        <v>Saturday</v>
      </c>
      <c r="I348" s="102" t="str">
        <f t="shared" si="41"/>
        <v>Week 6</v>
      </c>
    </row>
    <row r="349" spans="2:9" ht="26.25" customHeight="1">
      <c r="B349" s="99">
        <v>46277</v>
      </c>
      <c r="C349" s="1" t="s">
        <v>42</v>
      </c>
      <c r="D349" s="1">
        <v>5</v>
      </c>
      <c r="E349" s="7">
        <v>60</v>
      </c>
      <c r="F349" s="7">
        <v>51</v>
      </c>
      <c r="G349" s="7">
        <f t="shared" si="39"/>
        <v>45</v>
      </c>
      <c r="H349" s="1" t="str">
        <f t="shared" si="40"/>
        <v>Saturday</v>
      </c>
      <c r="I349" s="102" t="str">
        <f t="shared" si="41"/>
        <v>Week 6</v>
      </c>
    </row>
    <row r="350" spans="2:9" ht="26.25" customHeight="1">
      <c r="B350" s="99">
        <v>46277</v>
      </c>
      <c r="C350" s="1" t="s">
        <v>43</v>
      </c>
      <c r="D350" s="1">
        <v>6</v>
      </c>
      <c r="E350" s="7">
        <v>60</v>
      </c>
      <c r="F350" s="7">
        <v>51</v>
      </c>
      <c r="G350" s="7">
        <f t="shared" si="39"/>
        <v>54</v>
      </c>
      <c r="H350" s="1" t="str">
        <f t="shared" si="40"/>
        <v>Saturday</v>
      </c>
      <c r="I350" s="102" t="str">
        <f t="shared" si="41"/>
        <v>Week 6</v>
      </c>
    </row>
    <row r="351" spans="2:9" ht="26.25" customHeight="1">
      <c r="B351" s="99">
        <v>46277</v>
      </c>
      <c r="C351" s="1" t="s">
        <v>44</v>
      </c>
      <c r="D351" s="1">
        <v>2</v>
      </c>
      <c r="E351" s="7">
        <v>120</v>
      </c>
      <c r="F351" s="7">
        <v>108</v>
      </c>
      <c r="G351" s="7">
        <f t="shared" si="39"/>
        <v>24</v>
      </c>
      <c r="H351" s="1" t="str">
        <f t="shared" si="40"/>
        <v>Saturday</v>
      </c>
      <c r="I351" s="102" t="str">
        <f t="shared" si="41"/>
        <v>Week 6</v>
      </c>
    </row>
    <row r="352" spans="2:9" ht="26.25" customHeight="1">
      <c r="B352" s="99">
        <v>46277</v>
      </c>
      <c r="C352" s="1" t="s">
        <v>38</v>
      </c>
      <c r="D352" s="1">
        <v>2</v>
      </c>
      <c r="E352" s="7">
        <v>60</v>
      </c>
      <c r="F352" s="7">
        <v>56</v>
      </c>
      <c r="G352" s="7">
        <f t="shared" si="39"/>
        <v>8</v>
      </c>
      <c r="H352" s="1" t="str">
        <f t="shared" si="40"/>
        <v>Saturday</v>
      </c>
      <c r="I352" s="102" t="str">
        <f t="shared" si="41"/>
        <v>Week 6</v>
      </c>
    </row>
    <row r="353" spans="2:9" ht="26.25" customHeight="1">
      <c r="B353" s="99">
        <v>46278</v>
      </c>
      <c r="C353" s="1" t="s">
        <v>47</v>
      </c>
      <c r="D353" s="1">
        <v>2</v>
      </c>
      <c r="E353" s="7">
        <v>70</v>
      </c>
      <c r="F353" s="7">
        <v>57</v>
      </c>
      <c r="G353" s="7">
        <f t="shared" si="39"/>
        <v>26</v>
      </c>
      <c r="H353" s="1" t="str">
        <f t="shared" si="40"/>
        <v>Sunday</v>
      </c>
      <c r="I353" s="102" t="str">
        <f t="shared" si="41"/>
        <v>Week 6</v>
      </c>
    </row>
    <row r="354" spans="2:9" ht="26.25" customHeight="1">
      <c r="B354" s="99">
        <v>46278</v>
      </c>
      <c r="C354" s="1" t="s">
        <v>48</v>
      </c>
      <c r="D354" s="1">
        <v>2</v>
      </c>
      <c r="E354" s="7">
        <v>110</v>
      </c>
      <c r="F354" s="7">
        <v>90</v>
      </c>
      <c r="G354" s="7">
        <f t="shared" si="39"/>
        <v>40</v>
      </c>
      <c r="H354" s="1" t="str">
        <f t="shared" si="40"/>
        <v>Sunday</v>
      </c>
      <c r="I354" s="102" t="str">
        <f t="shared" si="41"/>
        <v>Week 6</v>
      </c>
    </row>
    <row r="355" spans="2:9" ht="26.25" customHeight="1">
      <c r="B355" s="99">
        <v>46278</v>
      </c>
      <c r="C355" s="1" t="s">
        <v>49</v>
      </c>
      <c r="D355" s="1">
        <v>2</v>
      </c>
      <c r="E355" s="7">
        <v>850</v>
      </c>
      <c r="F355" s="7">
        <v>720</v>
      </c>
      <c r="G355" s="7">
        <f t="shared" si="39"/>
        <v>260</v>
      </c>
      <c r="H355" s="1" t="str">
        <f t="shared" si="40"/>
        <v>Sunday</v>
      </c>
      <c r="I355" s="102" t="str">
        <f t="shared" si="41"/>
        <v>Week 6</v>
      </c>
    </row>
    <row r="356" spans="2:9" ht="26.25" customHeight="1">
      <c r="B356" s="99">
        <v>46278</v>
      </c>
      <c r="C356" s="1" t="s">
        <v>50</v>
      </c>
      <c r="D356" s="1">
        <v>2</v>
      </c>
      <c r="E356" s="7">
        <v>80</v>
      </c>
      <c r="F356" s="7">
        <v>65</v>
      </c>
      <c r="G356" s="7">
        <f t="shared" si="39"/>
        <v>30</v>
      </c>
      <c r="H356" s="1" t="str">
        <f t="shared" si="40"/>
        <v>Sunday</v>
      </c>
      <c r="I356" s="102" t="str">
        <f t="shared" si="41"/>
        <v>Week 6</v>
      </c>
    </row>
    <row r="357" spans="2:9" ht="26.25" customHeight="1">
      <c r="B357" s="99">
        <v>46278</v>
      </c>
      <c r="C357" s="1" t="s">
        <v>25</v>
      </c>
      <c r="D357" s="1">
        <v>6</v>
      </c>
      <c r="E357" s="7">
        <v>270</v>
      </c>
      <c r="F357" s="7">
        <v>257</v>
      </c>
      <c r="G357" s="7">
        <f t="shared" si="39"/>
        <v>78</v>
      </c>
      <c r="H357" s="1" t="str">
        <f t="shared" si="40"/>
        <v>Sunday</v>
      </c>
      <c r="I357" s="102" t="str">
        <f t="shared" si="41"/>
        <v>Week 6</v>
      </c>
    </row>
    <row r="358" spans="2:9" ht="26.25" customHeight="1">
      <c r="B358" s="99">
        <v>46278</v>
      </c>
      <c r="C358" s="1" t="s">
        <v>53</v>
      </c>
      <c r="D358" s="1">
        <v>3</v>
      </c>
      <c r="E358" s="7">
        <v>30</v>
      </c>
      <c r="F358" s="7">
        <v>27</v>
      </c>
      <c r="G358" s="7">
        <f t="shared" si="39"/>
        <v>9</v>
      </c>
      <c r="H358" s="1" t="str">
        <f t="shared" si="40"/>
        <v>Sunday</v>
      </c>
      <c r="I358" s="102" t="str">
        <f t="shared" si="41"/>
        <v>Week 6</v>
      </c>
    </row>
    <row r="359" spans="2:9" ht="26.25" customHeight="1">
      <c r="B359" s="99">
        <v>46278</v>
      </c>
      <c r="C359" s="1" t="s">
        <v>54</v>
      </c>
      <c r="D359" s="1">
        <v>6</v>
      </c>
      <c r="E359" s="7">
        <v>25</v>
      </c>
      <c r="F359" s="7">
        <v>22</v>
      </c>
      <c r="G359" s="7">
        <f t="shared" si="39"/>
        <v>18</v>
      </c>
      <c r="H359" s="1" t="str">
        <f t="shared" si="40"/>
        <v>Sunday</v>
      </c>
      <c r="I359" s="102" t="str">
        <f t="shared" si="41"/>
        <v>Week 6</v>
      </c>
    </row>
    <row r="360" spans="2:9" ht="26.25" customHeight="1">
      <c r="B360" s="99">
        <v>46278</v>
      </c>
      <c r="C360" s="1" t="s">
        <v>55</v>
      </c>
      <c r="D360" s="1">
        <v>2</v>
      </c>
      <c r="E360" s="7">
        <v>110</v>
      </c>
      <c r="F360" s="7">
        <v>90</v>
      </c>
      <c r="G360" s="7">
        <f t="shared" si="39"/>
        <v>40</v>
      </c>
      <c r="H360" s="1" t="str">
        <f t="shared" si="40"/>
        <v>Sunday</v>
      </c>
      <c r="I360" s="102" t="str">
        <f t="shared" si="41"/>
        <v>Week 6</v>
      </c>
    </row>
    <row r="361" spans="2:9" ht="26.25" customHeight="1">
      <c r="B361" s="99">
        <v>46278</v>
      </c>
      <c r="C361" s="1" t="s">
        <v>56</v>
      </c>
      <c r="D361" s="1">
        <v>20</v>
      </c>
      <c r="E361" s="7">
        <v>5</v>
      </c>
      <c r="F361" s="7">
        <v>4.2</v>
      </c>
      <c r="G361" s="7">
        <f t="shared" si="39"/>
        <v>15.999999999999996</v>
      </c>
      <c r="H361" s="1" t="str">
        <f t="shared" si="40"/>
        <v>Sunday</v>
      </c>
      <c r="I361" s="102" t="str">
        <f t="shared" si="41"/>
        <v>Week 6</v>
      </c>
    </row>
    <row r="362" spans="2:9" ht="26.25" customHeight="1">
      <c r="B362" s="99">
        <v>46279</v>
      </c>
      <c r="C362" s="1" t="s">
        <v>57</v>
      </c>
      <c r="D362" s="1">
        <v>1</v>
      </c>
      <c r="E362" s="7">
        <v>1200</v>
      </c>
      <c r="F362" s="7">
        <v>980</v>
      </c>
      <c r="G362" s="7">
        <f t="shared" si="39"/>
        <v>220</v>
      </c>
      <c r="H362" s="1" t="str">
        <f t="shared" si="40"/>
        <v>Monday</v>
      </c>
      <c r="I362" s="102" t="str">
        <f t="shared" si="41"/>
        <v>Week 7</v>
      </c>
    </row>
    <row r="363" spans="2:9" ht="26.25" customHeight="1">
      <c r="B363" s="99">
        <v>46279</v>
      </c>
      <c r="C363" s="1" t="s">
        <v>58</v>
      </c>
      <c r="D363" s="1">
        <v>3</v>
      </c>
      <c r="E363" s="7">
        <v>50</v>
      </c>
      <c r="F363" s="7">
        <v>42</v>
      </c>
      <c r="G363" s="7">
        <f t="shared" si="39"/>
        <v>24</v>
      </c>
      <c r="H363" s="1" t="str">
        <f t="shared" si="40"/>
        <v>Monday</v>
      </c>
      <c r="I363" s="102" t="str">
        <f t="shared" si="41"/>
        <v>Week 7</v>
      </c>
    </row>
    <row r="364" spans="2:9" ht="26.25" customHeight="1">
      <c r="B364" s="99">
        <v>46279</v>
      </c>
      <c r="C364" s="1" t="s">
        <v>59</v>
      </c>
      <c r="D364" s="1">
        <v>6</v>
      </c>
      <c r="E364" s="7">
        <v>10</v>
      </c>
      <c r="F364" s="7">
        <v>9.1</v>
      </c>
      <c r="G364" s="7">
        <f t="shared" si="39"/>
        <v>5.4000000000000021</v>
      </c>
      <c r="H364" s="1" t="str">
        <f t="shared" si="40"/>
        <v>Monday</v>
      </c>
      <c r="I364" s="102" t="str">
        <f t="shared" si="41"/>
        <v>Week 7</v>
      </c>
    </row>
    <row r="365" spans="2:9" ht="26.25" customHeight="1">
      <c r="B365" s="99">
        <v>46279</v>
      </c>
      <c r="C365" s="1" t="s">
        <v>60</v>
      </c>
      <c r="D365" s="1">
        <v>2</v>
      </c>
      <c r="E365" s="7">
        <v>90</v>
      </c>
      <c r="F365" s="7">
        <v>78</v>
      </c>
      <c r="G365" s="7">
        <f t="shared" si="39"/>
        <v>24</v>
      </c>
      <c r="H365" s="1" t="str">
        <f t="shared" si="40"/>
        <v>Monday</v>
      </c>
      <c r="I365" s="102" t="str">
        <f t="shared" si="41"/>
        <v>Week 7</v>
      </c>
    </row>
    <row r="366" spans="2:9" ht="26.25" customHeight="1">
      <c r="B366" s="99">
        <v>46279</v>
      </c>
      <c r="C366" s="1" t="s">
        <v>61</v>
      </c>
      <c r="D366" s="1">
        <v>3</v>
      </c>
      <c r="E366" s="7">
        <v>120</v>
      </c>
      <c r="F366" s="7">
        <v>112</v>
      </c>
      <c r="G366" s="7">
        <f t="shared" si="39"/>
        <v>24</v>
      </c>
      <c r="H366" s="1" t="str">
        <f t="shared" si="40"/>
        <v>Monday</v>
      </c>
      <c r="I366" s="102" t="str">
        <f t="shared" si="41"/>
        <v>Week 7</v>
      </c>
    </row>
    <row r="367" spans="2:9" ht="26.25" customHeight="1">
      <c r="B367" s="99">
        <v>46279</v>
      </c>
      <c r="C367" s="1" t="s">
        <v>32</v>
      </c>
      <c r="D367" s="1">
        <v>5</v>
      </c>
      <c r="E367" s="7">
        <v>50</v>
      </c>
      <c r="F367" s="7">
        <v>42</v>
      </c>
      <c r="G367" s="7">
        <f t="shared" si="39"/>
        <v>40</v>
      </c>
      <c r="H367" s="1" t="str">
        <f t="shared" si="40"/>
        <v>Monday</v>
      </c>
      <c r="I367" s="102" t="str">
        <f t="shared" si="41"/>
        <v>Week 7</v>
      </c>
    </row>
    <row r="368" spans="2:9" ht="26.25" customHeight="1">
      <c r="B368" s="99">
        <v>46279</v>
      </c>
      <c r="C368" s="1" t="s">
        <v>59</v>
      </c>
      <c r="D368" s="1">
        <v>15</v>
      </c>
      <c r="E368" s="7">
        <v>10</v>
      </c>
      <c r="F368" s="7">
        <v>9.1999999999999993</v>
      </c>
      <c r="G368" s="7">
        <f t="shared" si="39"/>
        <v>12.000000000000011</v>
      </c>
      <c r="H368" s="1" t="str">
        <f t="shared" si="40"/>
        <v>Monday</v>
      </c>
      <c r="I368" s="102" t="str">
        <f t="shared" si="41"/>
        <v>Week 7</v>
      </c>
    </row>
    <row r="369" spans="2:9" ht="26.25" customHeight="1">
      <c r="B369" s="99">
        <v>46279</v>
      </c>
      <c r="C369" s="1" t="s">
        <v>40</v>
      </c>
      <c r="D369" s="1">
        <v>2</v>
      </c>
      <c r="E369" s="7">
        <v>400</v>
      </c>
      <c r="F369" s="7">
        <v>340</v>
      </c>
      <c r="G369" s="7">
        <f t="shared" si="39"/>
        <v>120</v>
      </c>
      <c r="H369" s="1" t="str">
        <f t="shared" si="40"/>
        <v>Monday</v>
      </c>
      <c r="I369" s="102" t="str">
        <f t="shared" si="41"/>
        <v>Week 7</v>
      </c>
    </row>
    <row r="370" spans="2:9" ht="26.25" customHeight="1">
      <c r="B370" s="99">
        <v>46279</v>
      </c>
      <c r="C370" s="1" t="s">
        <v>29</v>
      </c>
      <c r="D370" s="1">
        <v>6</v>
      </c>
      <c r="E370" s="7">
        <v>20</v>
      </c>
      <c r="F370" s="7">
        <v>16</v>
      </c>
      <c r="G370" s="7">
        <f t="shared" si="39"/>
        <v>24</v>
      </c>
      <c r="H370" s="1" t="str">
        <f t="shared" si="40"/>
        <v>Monday</v>
      </c>
      <c r="I370" s="102" t="str">
        <f t="shared" si="41"/>
        <v>Week 7</v>
      </c>
    </row>
    <row r="371" spans="2:9" ht="26.25" customHeight="1">
      <c r="B371" s="99">
        <v>46279</v>
      </c>
      <c r="C371" s="1" t="s">
        <v>62</v>
      </c>
      <c r="D371" s="1">
        <v>1</v>
      </c>
      <c r="E371" s="7">
        <v>400</v>
      </c>
      <c r="F371" s="7">
        <v>360</v>
      </c>
      <c r="G371" s="7">
        <f t="shared" si="39"/>
        <v>40</v>
      </c>
      <c r="H371" s="1" t="str">
        <f t="shared" si="40"/>
        <v>Monday</v>
      </c>
      <c r="I371" s="102" t="str">
        <f t="shared" si="41"/>
        <v>Week 7</v>
      </c>
    </row>
    <row r="372" spans="2:9" ht="26.25" customHeight="1">
      <c r="B372" s="100">
        <v>46280</v>
      </c>
      <c r="C372" s="3" t="s">
        <v>28</v>
      </c>
      <c r="D372" s="3">
        <v>2</v>
      </c>
      <c r="E372" s="6">
        <v>1300</v>
      </c>
      <c r="F372" s="6">
        <v>1180</v>
      </c>
      <c r="G372" s="6">
        <f t="shared" si="39"/>
        <v>240</v>
      </c>
      <c r="H372" s="3" t="str">
        <f t="shared" si="40"/>
        <v>Tuesday</v>
      </c>
      <c r="I372" s="103" t="str">
        <f t="shared" si="41"/>
        <v>Week 7</v>
      </c>
    </row>
    <row r="373" spans="2:9" ht="26.25" customHeight="1">
      <c r="B373" s="100">
        <v>46280</v>
      </c>
      <c r="C373" s="1"/>
      <c r="D373" s="1"/>
      <c r="E373" s="7"/>
      <c r="F373" s="7"/>
      <c r="G373" s="7">
        <f t="shared" ref="G373:G404" si="42">(E373-F373)*D373</f>
        <v>0</v>
      </c>
      <c r="H373" s="1" t="str">
        <f t="shared" ref="H373:H404" si="43">TEXT(B373,"dddd")</f>
        <v>Tuesday</v>
      </c>
      <c r="I373" s="102" t="str">
        <f t="shared" ref="I373:I404" si="44">"Week " &amp; (INT((B373 - DATE(2026,8,3)) / 7) + 1)</f>
        <v>Week 7</v>
      </c>
    </row>
    <row r="374" spans="2:9" ht="26.25" customHeight="1">
      <c r="B374" s="100">
        <v>46280</v>
      </c>
      <c r="C374" s="1" t="s">
        <v>76</v>
      </c>
      <c r="D374" s="1">
        <v>8</v>
      </c>
      <c r="E374" s="7">
        <v>180</v>
      </c>
      <c r="F374" s="7">
        <v>167</v>
      </c>
      <c r="G374" s="7">
        <f t="shared" si="42"/>
        <v>104</v>
      </c>
      <c r="H374" s="1" t="str">
        <f t="shared" si="43"/>
        <v>Tuesday</v>
      </c>
      <c r="I374" s="102" t="str">
        <f t="shared" si="44"/>
        <v>Week 7</v>
      </c>
    </row>
    <row r="375" spans="2:9" ht="26.25" customHeight="1">
      <c r="B375" s="100">
        <v>46280</v>
      </c>
      <c r="C375" s="1" t="s">
        <v>77</v>
      </c>
      <c r="D375" s="1">
        <v>18</v>
      </c>
      <c r="E375" s="7">
        <v>15</v>
      </c>
      <c r="F375" s="7">
        <v>10.5</v>
      </c>
      <c r="G375" s="7">
        <f t="shared" si="42"/>
        <v>81</v>
      </c>
      <c r="H375" s="1" t="str">
        <f t="shared" si="43"/>
        <v>Tuesday</v>
      </c>
      <c r="I375" s="102" t="str">
        <f t="shared" si="44"/>
        <v>Week 7</v>
      </c>
    </row>
    <row r="376" spans="2:9" ht="26.25" customHeight="1">
      <c r="B376" s="100">
        <v>46280</v>
      </c>
      <c r="C376" s="1" t="s">
        <v>106</v>
      </c>
      <c r="D376" s="1">
        <v>12</v>
      </c>
      <c r="E376" s="7">
        <v>10</v>
      </c>
      <c r="F376" s="7">
        <v>8</v>
      </c>
      <c r="G376" s="7">
        <f t="shared" si="42"/>
        <v>24</v>
      </c>
      <c r="H376" s="1" t="str">
        <f t="shared" si="43"/>
        <v>Tuesday</v>
      </c>
      <c r="I376" s="102" t="str">
        <f t="shared" si="44"/>
        <v>Week 7</v>
      </c>
    </row>
    <row r="377" spans="2:9" ht="26.25" customHeight="1">
      <c r="B377" s="100">
        <v>46280</v>
      </c>
      <c r="C377" s="1" t="s">
        <v>162</v>
      </c>
      <c r="D377" s="1">
        <v>6</v>
      </c>
      <c r="E377" s="7">
        <v>30</v>
      </c>
      <c r="F377" s="7">
        <v>26</v>
      </c>
      <c r="G377" s="7">
        <f t="shared" si="42"/>
        <v>24</v>
      </c>
      <c r="H377" s="1" t="str">
        <f t="shared" si="43"/>
        <v>Tuesday</v>
      </c>
      <c r="I377" s="102" t="str">
        <f t="shared" si="44"/>
        <v>Week 7</v>
      </c>
    </row>
    <row r="378" spans="2:9" ht="26.25" customHeight="1">
      <c r="B378" s="100">
        <v>46280</v>
      </c>
      <c r="C378" s="1" t="s">
        <v>55</v>
      </c>
      <c r="D378" s="1">
        <v>2</v>
      </c>
      <c r="E378" s="7">
        <v>110</v>
      </c>
      <c r="F378" s="7">
        <v>89</v>
      </c>
      <c r="G378" s="7">
        <f t="shared" si="42"/>
        <v>42</v>
      </c>
      <c r="H378" s="1" t="str">
        <f t="shared" si="43"/>
        <v>Tuesday</v>
      </c>
      <c r="I378" s="102" t="str">
        <f t="shared" si="44"/>
        <v>Week 7</v>
      </c>
    </row>
    <row r="379" spans="2:9" ht="26.25" customHeight="1">
      <c r="B379" s="100">
        <v>46280</v>
      </c>
      <c r="C379" s="1" t="s">
        <v>50</v>
      </c>
      <c r="D379" s="1">
        <v>2</v>
      </c>
      <c r="E379" s="7">
        <v>90</v>
      </c>
      <c r="F379" s="7">
        <v>80</v>
      </c>
      <c r="G379" s="7">
        <f t="shared" si="42"/>
        <v>20</v>
      </c>
      <c r="H379" s="1" t="str">
        <f t="shared" si="43"/>
        <v>Tuesday</v>
      </c>
      <c r="I379" s="102" t="str">
        <f t="shared" si="44"/>
        <v>Week 7</v>
      </c>
    </row>
    <row r="380" spans="2:9" ht="26.25" customHeight="1">
      <c r="B380" s="100">
        <v>46280</v>
      </c>
      <c r="C380" s="1" t="s">
        <v>107</v>
      </c>
      <c r="D380" s="1">
        <v>1</v>
      </c>
      <c r="E380" s="7">
        <v>300</v>
      </c>
      <c r="F380" s="7">
        <v>260</v>
      </c>
      <c r="G380" s="7">
        <f t="shared" si="42"/>
        <v>40</v>
      </c>
      <c r="H380" s="1" t="str">
        <f t="shared" si="43"/>
        <v>Tuesday</v>
      </c>
      <c r="I380" s="102" t="str">
        <f t="shared" si="44"/>
        <v>Week 7</v>
      </c>
    </row>
    <row r="381" spans="2:9" ht="26.25" customHeight="1">
      <c r="B381" s="100">
        <v>46281</v>
      </c>
      <c r="C381" s="1" t="s">
        <v>32</v>
      </c>
      <c r="D381" s="1">
        <v>4</v>
      </c>
      <c r="E381" s="7">
        <v>60</v>
      </c>
      <c r="F381" s="7">
        <v>48</v>
      </c>
      <c r="G381" s="7">
        <f t="shared" si="42"/>
        <v>48</v>
      </c>
      <c r="H381" s="1" t="str">
        <f t="shared" si="43"/>
        <v>Wednesday</v>
      </c>
      <c r="I381" s="102" t="str">
        <f t="shared" si="44"/>
        <v>Week 7</v>
      </c>
    </row>
    <row r="382" spans="2:9" ht="26.25" customHeight="1">
      <c r="B382" s="100">
        <v>46281</v>
      </c>
      <c r="C382" s="1" t="s">
        <v>59</v>
      </c>
      <c r="D382" s="1">
        <v>12</v>
      </c>
      <c r="E382" s="7">
        <v>10</v>
      </c>
      <c r="F382" s="7">
        <v>9.1999999999999993</v>
      </c>
      <c r="G382" s="7">
        <f t="shared" si="42"/>
        <v>9.6000000000000085</v>
      </c>
      <c r="H382" s="1" t="str">
        <f t="shared" si="43"/>
        <v>Wednesday</v>
      </c>
      <c r="I382" s="102" t="str">
        <f t="shared" si="44"/>
        <v>Week 7</v>
      </c>
    </row>
    <row r="383" spans="2:9" ht="26.25" customHeight="1">
      <c r="B383" s="100">
        <v>46281</v>
      </c>
      <c r="C383" s="1" t="s">
        <v>26</v>
      </c>
      <c r="D383" s="1">
        <v>1</v>
      </c>
      <c r="E383" s="7">
        <v>1200</v>
      </c>
      <c r="F383" s="7">
        <v>1080</v>
      </c>
      <c r="G383" s="7">
        <f t="shared" si="42"/>
        <v>120</v>
      </c>
      <c r="H383" s="1" t="str">
        <f t="shared" si="43"/>
        <v>Wednesday</v>
      </c>
      <c r="I383" s="102" t="str">
        <f t="shared" si="44"/>
        <v>Week 7</v>
      </c>
    </row>
    <row r="384" spans="2:9" ht="26.25" customHeight="1">
      <c r="B384" s="100">
        <v>46281</v>
      </c>
      <c r="C384" s="1" t="s">
        <v>104</v>
      </c>
      <c r="D384" s="1">
        <v>3</v>
      </c>
      <c r="E384" s="7">
        <v>15</v>
      </c>
      <c r="F384" s="7">
        <v>13</v>
      </c>
      <c r="G384" s="7">
        <f t="shared" si="42"/>
        <v>6</v>
      </c>
      <c r="H384" s="1" t="str">
        <f t="shared" si="43"/>
        <v>Wednesday</v>
      </c>
      <c r="I384" s="102" t="str">
        <f t="shared" si="44"/>
        <v>Week 7</v>
      </c>
    </row>
    <row r="385" spans="2:9" ht="26.25" customHeight="1">
      <c r="B385" s="100">
        <v>46281</v>
      </c>
      <c r="C385" s="1" t="s">
        <v>129</v>
      </c>
      <c r="D385" s="1">
        <v>5</v>
      </c>
      <c r="E385" s="7">
        <v>15</v>
      </c>
      <c r="F385" s="7">
        <v>12.5</v>
      </c>
      <c r="G385" s="7">
        <f t="shared" si="42"/>
        <v>12.5</v>
      </c>
      <c r="H385" s="1" t="str">
        <f t="shared" si="43"/>
        <v>Wednesday</v>
      </c>
      <c r="I385" s="102" t="str">
        <f t="shared" si="44"/>
        <v>Week 7</v>
      </c>
    </row>
    <row r="386" spans="2:9" ht="26.25" customHeight="1">
      <c r="B386" s="100">
        <v>46281</v>
      </c>
      <c r="C386" s="1" t="s">
        <v>163</v>
      </c>
      <c r="D386" s="1">
        <v>3</v>
      </c>
      <c r="E386" s="7">
        <v>210</v>
      </c>
      <c r="F386" s="7">
        <v>187</v>
      </c>
      <c r="G386" s="7">
        <f t="shared" si="42"/>
        <v>69</v>
      </c>
      <c r="H386" s="1" t="str">
        <f t="shared" si="43"/>
        <v>Wednesday</v>
      </c>
      <c r="I386" s="102" t="str">
        <f t="shared" si="44"/>
        <v>Week 7</v>
      </c>
    </row>
    <row r="387" spans="2:9" ht="26.25" customHeight="1">
      <c r="B387" s="100">
        <v>46281</v>
      </c>
      <c r="C387" s="1" t="s">
        <v>164</v>
      </c>
      <c r="D387" s="1">
        <v>3</v>
      </c>
      <c r="E387" s="7">
        <v>30</v>
      </c>
      <c r="F387" s="7">
        <v>24</v>
      </c>
      <c r="G387" s="7">
        <f t="shared" si="42"/>
        <v>18</v>
      </c>
      <c r="H387" s="1" t="str">
        <f t="shared" si="43"/>
        <v>Wednesday</v>
      </c>
      <c r="I387" s="102" t="str">
        <f t="shared" si="44"/>
        <v>Week 7</v>
      </c>
    </row>
    <row r="388" spans="2:9" ht="26.25" customHeight="1">
      <c r="B388" s="100">
        <v>46281</v>
      </c>
      <c r="C388" s="1" t="s">
        <v>165</v>
      </c>
      <c r="D388" s="1">
        <v>5</v>
      </c>
      <c r="E388" s="7">
        <v>35</v>
      </c>
      <c r="F388" s="7">
        <v>30</v>
      </c>
      <c r="G388" s="7">
        <f t="shared" si="42"/>
        <v>25</v>
      </c>
      <c r="H388" s="1" t="str">
        <f t="shared" si="43"/>
        <v>Wednesday</v>
      </c>
      <c r="I388" s="102" t="str">
        <f t="shared" si="44"/>
        <v>Week 7</v>
      </c>
    </row>
    <row r="389" spans="2:9" ht="26.25" customHeight="1">
      <c r="B389" s="100">
        <v>46281</v>
      </c>
      <c r="C389" s="1" t="s">
        <v>55</v>
      </c>
      <c r="D389" s="1">
        <v>2</v>
      </c>
      <c r="E389" s="7">
        <v>40</v>
      </c>
      <c r="F389" s="7">
        <v>33</v>
      </c>
      <c r="G389" s="7">
        <f t="shared" si="42"/>
        <v>14</v>
      </c>
      <c r="H389" s="1" t="str">
        <f t="shared" si="43"/>
        <v>Wednesday</v>
      </c>
      <c r="I389" s="102" t="str">
        <f t="shared" si="44"/>
        <v>Week 7</v>
      </c>
    </row>
    <row r="390" spans="2:9" ht="26.25" customHeight="1">
      <c r="B390" s="100">
        <v>46282</v>
      </c>
      <c r="C390" s="1" t="s">
        <v>84</v>
      </c>
      <c r="D390" s="1">
        <v>9</v>
      </c>
      <c r="E390" s="7">
        <v>10</v>
      </c>
      <c r="F390" s="7">
        <v>9.1999999999999993</v>
      </c>
      <c r="G390" s="7">
        <f t="shared" si="42"/>
        <v>7.2000000000000064</v>
      </c>
      <c r="H390" s="1" t="str">
        <f t="shared" si="43"/>
        <v>Thursday</v>
      </c>
      <c r="I390" s="102" t="str">
        <f t="shared" si="44"/>
        <v>Week 7</v>
      </c>
    </row>
    <row r="391" spans="2:9" ht="26.25" customHeight="1">
      <c r="B391" s="100">
        <v>46282</v>
      </c>
      <c r="C391" s="1" t="s">
        <v>33</v>
      </c>
      <c r="D391" s="1">
        <v>2</v>
      </c>
      <c r="E391" s="7">
        <v>60</v>
      </c>
      <c r="F391" s="7">
        <v>52</v>
      </c>
      <c r="G391" s="7">
        <f t="shared" si="42"/>
        <v>16</v>
      </c>
      <c r="H391" s="1" t="str">
        <f t="shared" si="43"/>
        <v>Thursday</v>
      </c>
      <c r="I391" s="102" t="str">
        <f t="shared" si="44"/>
        <v>Week 7</v>
      </c>
    </row>
    <row r="392" spans="2:9" ht="26.25" customHeight="1">
      <c r="B392" s="100">
        <v>46282</v>
      </c>
      <c r="C392" s="1" t="s">
        <v>166</v>
      </c>
      <c r="D392" s="1">
        <v>2</v>
      </c>
      <c r="E392" s="7">
        <v>140</v>
      </c>
      <c r="F392" s="7">
        <v>120</v>
      </c>
      <c r="G392" s="7">
        <f t="shared" si="42"/>
        <v>40</v>
      </c>
      <c r="H392" s="1" t="str">
        <f t="shared" si="43"/>
        <v>Thursday</v>
      </c>
      <c r="I392" s="102" t="str">
        <f t="shared" si="44"/>
        <v>Week 7</v>
      </c>
    </row>
    <row r="393" spans="2:9" ht="26.25" customHeight="1">
      <c r="B393" s="100">
        <v>46282</v>
      </c>
      <c r="C393" s="1" t="s">
        <v>61</v>
      </c>
      <c r="D393" s="1">
        <v>3</v>
      </c>
      <c r="E393" s="7">
        <v>120</v>
      </c>
      <c r="F393" s="7">
        <v>110</v>
      </c>
      <c r="G393" s="7">
        <f t="shared" si="42"/>
        <v>30</v>
      </c>
      <c r="H393" s="1" t="str">
        <f t="shared" si="43"/>
        <v>Thursday</v>
      </c>
      <c r="I393" s="102" t="str">
        <f t="shared" si="44"/>
        <v>Week 7</v>
      </c>
    </row>
    <row r="394" spans="2:9" ht="26.25" customHeight="1">
      <c r="B394" s="100">
        <v>46282</v>
      </c>
      <c r="C394" s="1" t="s">
        <v>32</v>
      </c>
      <c r="D394" s="1">
        <v>5</v>
      </c>
      <c r="E394" s="7">
        <v>50</v>
      </c>
      <c r="F394" s="7">
        <v>42</v>
      </c>
      <c r="G394" s="7">
        <f t="shared" si="42"/>
        <v>40</v>
      </c>
      <c r="H394" s="1" t="str">
        <f t="shared" si="43"/>
        <v>Thursday</v>
      </c>
      <c r="I394" s="102" t="str">
        <f t="shared" si="44"/>
        <v>Week 7</v>
      </c>
    </row>
    <row r="395" spans="2:9" ht="26.25" customHeight="1">
      <c r="B395" s="100">
        <v>46282</v>
      </c>
      <c r="C395" s="1" t="s">
        <v>59</v>
      </c>
      <c r="D395" s="1">
        <v>15</v>
      </c>
      <c r="E395" s="7">
        <v>10</v>
      </c>
      <c r="F395" s="7">
        <v>9.1999999999999993</v>
      </c>
      <c r="G395" s="7">
        <f t="shared" si="42"/>
        <v>12.000000000000011</v>
      </c>
      <c r="H395" s="1" t="str">
        <f t="shared" si="43"/>
        <v>Thursday</v>
      </c>
      <c r="I395" s="102" t="str">
        <f t="shared" si="44"/>
        <v>Week 7</v>
      </c>
    </row>
    <row r="396" spans="2:9" ht="26.25" customHeight="1">
      <c r="B396" s="100">
        <v>46282</v>
      </c>
      <c r="C396" s="1" t="s">
        <v>40</v>
      </c>
      <c r="D396" s="1">
        <v>2</v>
      </c>
      <c r="E396" s="7">
        <v>400</v>
      </c>
      <c r="F396" s="7">
        <v>320</v>
      </c>
      <c r="G396" s="7">
        <f t="shared" si="42"/>
        <v>160</v>
      </c>
      <c r="H396" s="1" t="str">
        <f t="shared" si="43"/>
        <v>Thursday</v>
      </c>
      <c r="I396" s="102" t="str">
        <f t="shared" si="44"/>
        <v>Week 7</v>
      </c>
    </row>
    <row r="397" spans="2:9" ht="26.25" customHeight="1">
      <c r="B397" s="100">
        <v>46282</v>
      </c>
      <c r="C397" s="1" t="s">
        <v>29</v>
      </c>
      <c r="D397" s="1">
        <v>6</v>
      </c>
      <c r="E397" s="7">
        <v>20</v>
      </c>
      <c r="F397" s="7">
        <v>16</v>
      </c>
      <c r="G397" s="7">
        <f t="shared" si="42"/>
        <v>24</v>
      </c>
      <c r="H397" s="1" t="str">
        <f t="shared" si="43"/>
        <v>Thursday</v>
      </c>
      <c r="I397" s="102" t="str">
        <f t="shared" si="44"/>
        <v>Week 7</v>
      </c>
    </row>
    <row r="398" spans="2:9" ht="26.25" customHeight="1">
      <c r="B398" s="100">
        <v>46283</v>
      </c>
      <c r="C398" s="1" t="s">
        <v>62</v>
      </c>
      <c r="D398" s="1">
        <v>1</v>
      </c>
      <c r="E398" s="7">
        <v>400</v>
      </c>
      <c r="F398" s="7">
        <v>360</v>
      </c>
      <c r="G398" s="7">
        <f t="shared" si="42"/>
        <v>40</v>
      </c>
      <c r="H398" s="1" t="str">
        <f t="shared" si="43"/>
        <v>Friday</v>
      </c>
      <c r="I398" s="102" t="str">
        <f t="shared" si="44"/>
        <v>Week 7</v>
      </c>
    </row>
    <row r="399" spans="2:9" ht="26.25" customHeight="1">
      <c r="B399" s="100">
        <v>46283</v>
      </c>
      <c r="C399" s="1" t="s">
        <v>26</v>
      </c>
      <c r="D399" s="1">
        <v>1</v>
      </c>
      <c r="E399" s="7">
        <v>1200</v>
      </c>
      <c r="F399" s="7">
        <v>1080</v>
      </c>
      <c r="G399" s="7">
        <f t="shared" si="42"/>
        <v>120</v>
      </c>
      <c r="H399" s="1" t="str">
        <f t="shared" si="43"/>
        <v>Friday</v>
      </c>
      <c r="I399" s="102" t="str">
        <f t="shared" si="44"/>
        <v>Week 7</v>
      </c>
    </row>
    <row r="400" spans="2:9" ht="26.25" customHeight="1">
      <c r="B400" s="100">
        <v>46283</v>
      </c>
      <c r="C400" s="1" t="s">
        <v>104</v>
      </c>
      <c r="D400" s="1">
        <v>3</v>
      </c>
      <c r="E400" s="7">
        <v>15</v>
      </c>
      <c r="F400" s="7">
        <v>13</v>
      </c>
      <c r="G400" s="7">
        <f t="shared" si="42"/>
        <v>6</v>
      </c>
      <c r="H400" s="1" t="str">
        <f t="shared" si="43"/>
        <v>Friday</v>
      </c>
      <c r="I400" s="102" t="str">
        <f t="shared" si="44"/>
        <v>Week 7</v>
      </c>
    </row>
    <row r="401" spans="2:9" ht="26.25" customHeight="1">
      <c r="B401" s="100">
        <v>46283</v>
      </c>
      <c r="C401" s="1" t="s">
        <v>129</v>
      </c>
      <c r="D401" s="1">
        <v>5</v>
      </c>
      <c r="E401" s="7">
        <v>15</v>
      </c>
      <c r="F401" s="7">
        <v>12.5</v>
      </c>
      <c r="G401" s="7">
        <f t="shared" si="42"/>
        <v>12.5</v>
      </c>
      <c r="H401" s="1" t="str">
        <f t="shared" si="43"/>
        <v>Friday</v>
      </c>
      <c r="I401" s="102" t="str">
        <f t="shared" si="44"/>
        <v>Week 7</v>
      </c>
    </row>
    <row r="402" spans="2:9" ht="26.25" customHeight="1">
      <c r="B402" s="100">
        <v>46283</v>
      </c>
      <c r="C402" s="1" t="s">
        <v>163</v>
      </c>
      <c r="D402" s="1">
        <v>3</v>
      </c>
      <c r="E402" s="7">
        <v>210</v>
      </c>
      <c r="F402" s="7">
        <v>187</v>
      </c>
      <c r="G402" s="7">
        <f t="shared" si="42"/>
        <v>69</v>
      </c>
      <c r="H402" s="1" t="str">
        <f t="shared" si="43"/>
        <v>Friday</v>
      </c>
      <c r="I402" s="102" t="str">
        <f t="shared" si="44"/>
        <v>Week 7</v>
      </c>
    </row>
    <row r="403" spans="2:9" ht="26.25" customHeight="1">
      <c r="B403" s="100">
        <v>46283</v>
      </c>
      <c r="C403" s="1" t="s">
        <v>164</v>
      </c>
      <c r="D403" s="1">
        <v>3</v>
      </c>
      <c r="E403" s="7">
        <v>30</v>
      </c>
      <c r="F403" s="7">
        <v>24</v>
      </c>
      <c r="G403" s="7">
        <f t="shared" si="42"/>
        <v>18</v>
      </c>
      <c r="H403" s="1" t="str">
        <f t="shared" si="43"/>
        <v>Friday</v>
      </c>
      <c r="I403" s="102" t="str">
        <f t="shared" si="44"/>
        <v>Week 7</v>
      </c>
    </row>
    <row r="404" spans="2:9" ht="26.25" customHeight="1">
      <c r="B404" s="100">
        <v>46283</v>
      </c>
      <c r="C404" s="1" t="s">
        <v>165</v>
      </c>
      <c r="D404" s="1">
        <v>5</v>
      </c>
      <c r="E404" s="7">
        <v>35</v>
      </c>
      <c r="F404" s="7">
        <v>30</v>
      </c>
      <c r="G404" s="7">
        <f t="shared" si="42"/>
        <v>25</v>
      </c>
      <c r="H404" s="1" t="str">
        <f t="shared" si="43"/>
        <v>Friday</v>
      </c>
      <c r="I404" s="102" t="str">
        <f t="shared" si="44"/>
        <v>Week 7</v>
      </c>
    </row>
    <row r="405" spans="2:9" ht="26.25" customHeight="1">
      <c r="B405" s="100">
        <v>46283</v>
      </c>
      <c r="C405" s="1" t="s">
        <v>55</v>
      </c>
      <c r="D405" s="1">
        <v>2</v>
      </c>
      <c r="E405" s="7">
        <v>40</v>
      </c>
      <c r="F405" s="7">
        <v>33</v>
      </c>
      <c r="G405" s="7">
        <f t="shared" ref="G405:G436" si="45">(E405-F405)*D405</f>
        <v>14</v>
      </c>
      <c r="H405" s="1" t="str">
        <f t="shared" ref="H405:H436" si="46">TEXT(B405,"dddd")</f>
        <v>Friday</v>
      </c>
      <c r="I405" s="102" t="str">
        <f t="shared" ref="I405:I436" si="47">"Week " &amp; (INT((B405 - DATE(2026,8,3)) / 7) + 1)</f>
        <v>Week 7</v>
      </c>
    </row>
    <row r="406" spans="2:9" ht="26.25" customHeight="1">
      <c r="B406" s="100">
        <v>46284</v>
      </c>
      <c r="C406" s="1" t="s">
        <v>84</v>
      </c>
      <c r="D406" s="1">
        <v>9</v>
      </c>
      <c r="E406" s="7">
        <v>10</v>
      </c>
      <c r="F406" s="7">
        <v>9.1999999999999993</v>
      </c>
      <c r="G406" s="7">
        <f t="shared" si="45"/>
        <v>7.2000000000000064</v>
      </c>
      <c r="H406" s="1" t="str">
        <f t="shared" si="46"/>
        <v>Saturday</v>
      </c>
      <c r="I406" s="102" t="str">
        <f t="shared" si="47"/>
        <v>Week 7</v>
      </c>
    </row>
    <row r="407" spans="2:9" ht="26.25" customHeight="1">
      <c r="B407" s="100">
        <v>46284</v>
      </c>
      <c r="C407" s="1" t="s">
        <v>33</v>
      </c>
      <c r="D407" s="1">
        <v>2</v>
      </c>
      <c r="E407" s="7">
        <v>60</v>
      </c>
      <c r="F407" s="7">
        <v>52</v>
      </c>
      <c r="G407" s="7">
        <f t="shared" si="45"/>
        <v>16</v>
      </c>
      <c r="H407" s="1" t="str">
        <f t="shared" si="46"/>
        <v>Saturday</v>
      </c>
      <c r="I407" s="102" t="str">
        <f t="shared" si="47"/>
        <v>Week 7</v>
      </c>
    </row>
    <row r="408" spans="2:9" ht="26.25" customHeight="1">
      <c r="B408" s="100">
        <v>46284</v>
      </c>
      <c r="C408" s="1" t="s">
        <v>166</v>
      </c>
      <c r="D408" s="1">
        <v>2</v>
      </c>
      <c r="E408" s="7">
        <v>140</v>
      </c>
      <c r="F408" s="7">
        <v>120</v>
      </c>
      <c r="G408" s="7">
        <f t="shared" si="45"/>
        <v>40</v>
      </c>
      <c r="H408" s="1" t="str">
        <f t="shared" si="46"/>
        <v>Saturday</v>
      </c>
      <c r="I408" s="102" t="str">
        <f t="shared" si="47"/>
        <v>Week 7</v>
      </c>
    </row>
    <row r="409" spans="2:9" ht="26.25" customHeight="1">
      <c r="B409" s="100">
        <v>46284</v>
      </c>
      <c r="C409" s="1" t="s">
        <v>76</v>
      </c>
      <c r="D409" s="1">
        <v>6</v>
      </c>
      <c r="E409" s="7">
        <v>170</v>
      </c>
      <c r="F409" s="7">
        <v>159</v>
      </c>
      <c r="G409" s="7">
        <f t="shared" si="45"/>
        <v>66</v>
      </c>
      <c r="H409" s="1" t="str">
        <f t="shared" si="46"/>
        <v>Saturday</v>
      </c>
      <c r="I409" s="102" t="str">
        <f t="shared" si="47"/>
        <v>Week 7</v>
      </c>
    </row>
    <row r="410" spans="2:9" ht="26.25" customHeight="1">
      <c r="B410" s="100">
        <v>46284</v>
      </c>
      <c r="C410" s="1" t="s">
        <v>77</v>
      </c>
      <c r="D410" s="1">
        <v>15</v>
      </c>
      <c r="E410" s="7">
        <v>15</v>
      </c>
      <c r="F410" s="7">
        <v>13.6</v>
      </c>
      <c r="G410" s="7">
        <f t="shared" si="45"/>
        <v>21.000000000000007</v>
      </c>
      <c r="H410" s="1" t="str">
        <f t="shared" si="46"/>
        <v>Saturday</v>
      </c>
      <c r="I410" s="102" t="str">
        <f t="shared" si="47"/>
        <v>Week 7</v>
      </c>
    </row>
    <row r="411" spans="2:9" ht="26.25" customHeight="1">
      <c r="B411" s="100">
        <v>46284</v>
      </c>
      <c r="C411" s="1" t="s">
        <v>106</v>
      </c>
      <c r="D411" s="1">
        <v>6</v>
      </c>
      <c r="E411" s="7">
        <v>15</v>
      </c>
      <c r="F411" s="7">
        <v>12.5</v>
      </c>
      <c r="G411" s="7">
        <f t="shared" si="45"/>
        <v>15</v>
      </c>
      <c r="H411" s="1" t="str">
        <f t="shared" si="46"/>
        <v>Saturday</v>
      </c>
      <c r="I411" s="102" t="str">
        <f t="shared" si="47"/>
        <v>Week 7</v>
      </c>
    </row>
    <row r="412" spans="2:9" ht="26.25" customHeight="1">
      <c r="B412" s="100">
        <v>46284</v>
      </c>
      <c r="C412" s="1" t="s">
        <v>167</v>
      </c>
      <c r="D412" s="1">
        <v>5</v>
      </c>
      <c r="E412" s="7">
        <v>60</v>
      </c>
      <c r="F412" s="7">
        <v>55</v>
      </c>
      <c r="G412" s="7">
        <f t="shared" si="45"/>
        <v>25</v>
      </c>
      <c r="H412" s="1" t="str">
        <f t="shared" si="46"/>
        <v>Saturday</v>
      </c>
      <c r="I412" s="102" t="str">
        <f t="shared" si="47"/>
        <v>Week 7</v>
      </c>
    </row>
    <row r="413" spans="2:9" ht="26.25" customHeight="1">
      <c r="B413" s="100">
        <v>46284</v>
      </c>
      <c r="C413" s="1" t="s">
        <v>168</v>
      </c>
      <c r="D413" s="1">
        <v>2</v>
      </c>
      <c r="E413" s="7">
        <v>70</v>
      </c>
      <c r="F413" s="7">
        <v>63</v>
      </c>
      <c r="G413" s="7">
        <f t="shared" si="45"/>
        <v>14</v>
      </c>
      <c r="H413" s="1" t="str">
        <f t="shared" si="46"/>
        <v>Saturday</v>
      </c>
      <c r="I413" s="102" t="str">
        <f t="shared" si="47"/>
        <v>Week 7</v>
      </c>
    </row>
    <row r="414" spans="2:9" ht="26.25" customHeight="1">
      <c r="B414" s="100">
        <v>46284</v>
      </c>
      <c r="C414" s="1" t="s">
        <v>78</v>
      </c>
      <c r="D414" s="1">
        <v>2</v>
      </c>
      <c r="E414" s="7">
        <v>120</v>
      </c>
      <c r="F414" s="7">
        <v>105</v>
      </c>
      <c r="G414" s="7">
        <f t="shared" si="45"/>
        <v>30</v>
      </c>
      <c r="H414" s="1" t="str">
        <f t="shared" si="46"/>
        <v>Saturday</v>
      </c>
      <c r="I414" s="102" t="str">
        <f t="shared" si="47"/>
        <v>Week 7</v>
      </c>
    </row>
    <row r="415" spans="2:9" ht="26.25" customHeight="1">
      <c r="B415" s="100">
        <v>46284</v>
      </c>
      <c r="C415" s="1" t="s">
        <v>55</v>
      </c>
      <c r="D415" s="1">
        <v>1</v>
      </c>
      <c r="E415" s="7">
        <v>230</v>
      </c>
      <c r="F415" s="7">
        <v>188</v>
      </c>
      <c r="G415" s="7">
        <f t="shared" si="45"/>
        <v>42</v>
      </c>
      <c r="H415" s="1" t="str">
        <f t="shared" si="46"/>
        <v>Saturday</v>
      </c>
      <c r="I415" s="102" t="str">
        <f t="shared" si="47"/>
        <v>Week 7</v>
      </c>
    </row>
    <row r="416" spans="2:9" ht="26.25" customHeight="1">
      <c r="B416" s="100">
        <v>46285</v>
      </c>
      <c r="C416" s="1" t="s">
        <v>84</v>
      </c>
      <c r="D416" s="1">
        <v>15</v>
      </c>
      <c r="E416" s="7">
        <v>10</v>
      </c>
      <c r="F416" s="7">
        <v>9.1999999999999993</v>
      </c>
      <c r="G416" s="7">
        <f t="shared" si="45"/>
        <v>12.000000000000011</v>
      </c>
      <c r="H416" s="1" t="str">
        <f t="shared" si="46"/>
        <v>Sunday</v>
      </c>
      <c r="I416" s="102" t="str">
        <f t="shared" si="47"/>
        <v>Week 7</v>
      </c>
    </row>
    <row r="417" spans="2:9" ht="26.25" customHeight="1">
      <c r="B417" s="100">
        <v>46285</v>
      </c>
      <c r="C417" s="1" t="s">
        <v>28</v>
      </c>
      <c r="D417" s="1">
        <v>1</v>
      </c>
      <c r="E417" s="7">
        <v>1300</v>
      </c>
      <c r="F417" s="7">
        <v>1180</v>
      </c>
      <c r="G417" s="7">
        <f t="shared" si="45"/>
        <v>120</v>
      </c>
      <c r="H417" s="1" t="str">
        <f t="shared" si="46"/>
        <v>Sunday</v>
      </c>
      <c r="I417" s="102" t="str">
        <f t="shared" si="47"/>
        <v>Week 7</v>
      </c>
    </row>
    <row r="418" spans="2:9" ht="26.25" customHeight="1">
      <c r="B418" s="100">
        <v>46285</v>
      </c>
      <c r="C418" s="1" t="s">
        <v>76</v>
      </c>
      <c r="D418" s="1">
        <v>6</v>
      </c>
      <c r="E418" s="7">
        <v>180</v>
      </c>
      <c r="F418" s="7">
        <v>169</v>
      </c>
      <c r="G418" s="7">
        <f t="shared" si="45"/>
        <v>66</v>
      </c>
      <c r="H418" s="1" t="str">
        <f t="shared" si="46"/>
        <v>Sunday</v>
      </c>
      <c r="I418" s="102" t="str">
        <f t="shared" si="47"/>
        <v>Week 7</v>
      </c>
    </row>
    <row r="419" spans="2:9" ht="26.25" customHeight="1">
      <c r="B419" s="100">
        <v>46285</v>
      </c>
      <c r="C419" s="1" t="s">
        <v>34</v>
      </c>
      <c r="D419" s="1">
        <v>2</v>
      </c>
      <c r="E419" s="7">
        <v>550</v>
      </c>
      <c r="F419" s="7">
        <v>518</v>
      </c>
      <c r="G419" s="7">
        <f t="shared" si="45"/>
        <v>64</v>
      </c>
      <c r="H419" s="1" t="str">
        <f t="shared" si="46"/>
        <v>Sunday</v>
      </c>
      <c r="I419" s="102" t="str">
        <f t="shared" si="47"/>
        <v>Week 7</v>
      </c>
    </row>
    <row r="420" spans="2:9" ht="26.25" customHeight="1">
      <c r="B420" s="100">
        <v>46285</v>
      </c>
      <c r="C420" s="1" t="s">
        <v>41</v>
      </c>
      <c r="D420" s="1">
        <v>2</v>
      </c>
      <c r="E420" s="7">
        <v>325</v>
      </c>
      <c r="F420" s="7">
        <v>308</v>
      </c>
      <c r="G420" s="7">
        <f t="shared" si="45"/>
        <v>34</v>
      </c>
      <c r="H420" s="1" t="str">
        <f t="shared" si="46"/>
        <v>Sunday</v>
      </c>
      <c r="I420" s="102" t="str">
        <f t="shared" si="47"/>
        <v>Week 7</v>
      </c>
    </row>
    <row r="421" spans="2:9" ht="26.25" customHeight="1">
      <c r="B421" s="100">
        <v>46285</v>
      </c>
      <c r="C421" s="1" t="s">
        <v>150</v>
      </c>
      <c r="D421" s="1">
        <v>3</v>
      </c>
      <c r="E421" s="7">
        <v>60</v>
      </c>
      <c r="F421" s="7">
        <v>50</v>
      </c>
      <c r="G421" s="7">
        <f t="shared" si="45"/>
        <v>30</v>
      </c>
      <c r="H421" s="1" t="str">
        <f t="shared" si="46"/>
        <v>Sunday</v>
      </c>
      <c r="I421" s="102" t="str">
        <f t="shared" si="47"/>
        <v>Week 7</v>
      </c>
    </row>
    <row r="422" spans="2:9" ht="26.25" customHeight="1">
      <c r="B422" s="100">
        <v>46285</v>
      </c>
      <c r="C422" s="1" t="s">
        <v>55</v>
      </c>
      <c r="D422" s="1">
        <v>3</v>
      </c>
      <c r="E422" s="7">
        <v>40</v>
      </c>
      <c r="F422" s="7">
        <v>32</v>
      </c>
      <c r="G422" s="7">
        <f t="shared" si="45"/>
        <v>24</v>
      </c>
      <c r="H422" s="1" t="str">
        <f t="shared" si="46"/>
        <v>Sunday</v>
      </c>
      <c r="I422" s="102" t="str">
        <f t="shared" si="47"/>
        <v>Week 7</v>
      </c>
    </row>
    <row r="423" spans="2:9" ht="26.25" customHeight="1">
      <c r="B423" s="100">
        <v>46285</v>
      </c>
      <c r="C423" s="1" t="s">
        <v>169</v>
      </c>
      <c r="D423" s="1">
        <v>2</v>
      </c>
      <c r="E423" s="7">
        <v>500</v>
      </c>
      <c r="F423" s="7">
        <v>435</v>
      </c>
      <c r="G423" s="7">
        <f t="shared" si="45"/>
        <v>130</v>
      </c>
      <c r="H423" s="1" t="str">
        <f t="shared" si="46"/>
        <v>Sunday</v>
      </c>
      <c r="I423" s="102" t="str">
        <f t="shared" si="47"/>
        <v>Week 7</v>
      </c>
    </row>
    <row r="424" spans="2:9" ht="26.25" customHeight="1">
      <c r="B424" s="100">
        <v>46286</v>
      </c>
      <c r="C424" s="1" t="s">
        <v>170</v>
      </c>
      <c r="D424" s="1">
        <v>1</v>
      </c>
      <c r="E424" s="7">
        <v>300</v>
      </c>
      <c r="F424" s="7">
        <v>243</v>
      </c>
      <c r="G424" s="7">
        <f t="shared" si="45"/>
        <v>57</v>
      </c>
      <c r="H424" s="1" t="str">
        <f t="shared" si="46"/>
        <v>Monday</v>
      </c>
      <c r="I424" s="102" t="str">
        <f t="shared" si="47"/>
        <v>Week 8</v>
      </c>
    </row>
    <row r="425" spans="2:9" ht="26.25" customHeight="1">
      <c r="B425" s="100">
        <v>46286</v>
      </c>
      <c r="C425" s="1" t="s">
        <v>122</v>
      </c>
      <c r="D425" s="1">
        <v>1</v>
      </c>
      <c r="E425" s="7">
        <v>300</v>
      </c>
      <c r="F425" s="7">
        <v>243</v>
      </c>
      <c r="G425" s="7">
        <f t="shared" si="45"/>
        <v>57</v>
      </c>
      <c r="H425" s="1" t="str">
        <f t="shared" si="46"/>
        <v>Monday</v>
      </c>
      <c r="I425" s="102" t="str">
        <f t="shared" si="47"/>
        <v>Week 8</v>
      </c>
    </row>
    <row r="426" spans="2:9" ht="26.25" customHeight="1">
      <c r="B426" s="100">
        <v>46286</v>
      </c>
      <c r="C426" s="1" t="s">
        <v>171</v>
      </c>
      <c r="D426" s="1">
        <v>1</v>
      </c>
      <c r="E426" s="7">
        <v>120</v>
      </c>
      <c r="F426" s="7">
        <v>80</v>
      </c>
      <c r="G426" s="7">
        <f t="shared" si="45"/>
        <v>40</v>
      </c>
      <c r="H426" s="1" t="str">
        <f t="shared" si="46"/>
        <v>Monday</v>
      </c>
      <c r="I426" s="102" t="str">
        <f t="shared" si="47"/>
        <v>Week 8</v>
      </c>
    </row>
    <row r="427" spans="2:9" ht="26.25" customHeight="1">
      <c r="B427" s="100">
        <v>46286</v>
      </c>
      <c r="C427" s="1" t="s">
        <v>76</v>
      </c>
      <c r="D427" s="1">
        <v>6</v>
      </c>
      <c r="E427" s="7">
        <v>180</v>
      </c>
      <c r="F427" s="7">
        <v>163</v>
      </c>
      <c r="G427" s="7">
        <f t="shared" si="45"/>
        <v>102</v>
      </c>
      <c r="H427" s="1" t="str">
        <f t="shared" si="46"/>
        <v>Monday</v>
      </c>
      <c r="I427" s="102" t="str">
        <f t="shared" si="47"/>
        <v>Week 8</v>
      </c>
    </row>
    <row r="428" spans="2:9" ht="26.25" customHeight="1">
      <c r="B428" s="100">
        <v>46286</v>
      </c>
      <c r="C428" s="1" t="s">
        <v>77</v>
      </c>
      <c r="D428" s="1">
        <v>12</v>
      </c>
      <c r="E428" s="7">
        <v>15</v>
      </c>
      <c r="F428" s="7">
        <v>12.5</v>
      </c>
      <c r="G428" s="7">
        <f t="shared" si="45"/>
        <v>30</v>
      </c>
      <c r="H428" s="1" t="str">
        <f t="shared" si="46"/>
        <v>Monday</v>
      </c>
      <c r="I428" s="102" t="str">
        <f t="shared" si="47"/>
        <v>Week 8</v>
      </c>
    </row>
    <row r="429" spans="2:9" ht="26.25" customHeight="1">
      <c r="B429" s="100">
        <v>46286</v>
      </c>
      <c r="C429" s="1" t="s">
        <v>106</v>
      </c>
      <c r="D429" s="1">
        <v>6</v>
      </c>
      <c r="E429" s="7">
        <v>10</v>
      </c>
      <c r="F429" s="7">
        <v>8</v>
      </c>
      <c r="G429" s="7">
        <f t="shared" si="45"/>
        <v>12</v>
      </c>
      <c r="H429" s="1" t="str">
        <f t="shared" si="46"/>
        <v>Monday</v>
      </c>
      <c r="I429" s="102" t="str">
        <f t="shared" si="47"/>
        <v>Week 8</v>
      </c>
    </row>
    <row r="430" spans="2:9" ht="26.25" customHeight="1">
      <c r="B430" s="100">
        <v>46286</v>
      </c>
      <c r="C430" s="1" t="s">
        <v>162</v>
      </c>
      <c r="D430" s="1">
        <v>4</v>
      </c>
      <c r="E430" s="7">
        <v>30</v>
      </c>
      <c r="F430" s="7">
        <v>27</v>
      </c>
      <c r="G430" s="7">
        <f t="shared" si="45"/>
        <v>12</v>
      </c>
      <c r="H430" s="1" t="str">
        <f t="shared" si="46"/>
        <v>Monday</v>
      </c>
      <c r="I430" s="102" t="str">
        <f t="shared" si="47"/>
        <v>Week 8</v>
      </c>
    </row>
    <row r="431" spans="2:9" ht="26.25" customHeight="1">
      <c r="B431" s="100">
        <v>46286</v>
      </c>
      <c r="C431" s="1" t="s">
        <v>100</v>
      </c>
      <c r="D431" s="1">
        <v>1</v>
      </c>
      <c r="E431" s="7">
        <v>120</v>
      </c>
      <c r="F431" s="7">
        <v>93</v>
      </c>
      <c r="G431" s="7">
        <f t="shared" si="45"/>
        <v>27</v>
      </c>
      <c r="H431" s="1" t="str">
        <f t="shared" si="46"/>
        <v>Monday</v>
      </c>
      <c r="I431" s="102" t="str">
        <f t="shared" si="47"/>
        <v>Week 8</v>
      </c>
    </row>
    <row r="432" spans="2:9" ht="26.25" customHeight="1">
      <c r="B432" s="100">
        <v>46287</v>
      </c>
      <c r="C432" s="1" t="s">
        <v>97</v>
      </c>
      <c r="D432" s="1">
        <v>1</v>
      </c>
      <c r="E432" s="7">
        <v>800</v>
      </c>
      <c r="F432" s="7">
        <v>637</v>
      </c>
      <c r="G432" s="7">
        <f t="shared" si="45"/>
        <v>163</v>
      </c>
      <c r="H432" s="1" t="str">
        <f t="shared" si="46"/>
        <v>Tuesday</v>
      </c>
      <c r="I432" s="102" t="str">
        <f t="shared" si="47"/>
        <v>Week 8</v>
      </c>
    </row>
    <row r="433" spans="2:9" ht="26.25" customHeight="1">
      <c r="B433" s="100">
        <v>46287</v>
      </c>
      <c r="C433" s="1" t="s">
        <v>172</v>
      </c>
      <c r="D433" s="1">
        <v>1</v>
      </c>
      <c r="E433" s="7">
        <v>370</v>
      </c>
      <c r="F433" s="7">
        <v>340</v>
      </c>
      <c r="G433" s="7">
        <f t="shared" si="45"/>
        <v>30</v>
      </c>
      <c r="H433" s="1" t="str">
        <f t="shared" si="46"/>
        <v>Tuesday</v>
      </c>
      <c r="I433" s="102" t="str">
        <f t="shared" si="47"/>
        <v>Week 8</v>
      </c>
    </row>
    <row r="434" spans="2:9" ht="26.25" customHeight="1">
      <c r="B434" s="100">
        <v>46287</v>
      </c>
      <c r="C434" s="1" t="s">
        <v>39</v>
      </c>
      <c r="D434" s="1">
        <v>6</v>
      </c>
      <c r="E434" s="7">
        <v>10</v>
      </c>
      <c r="F434" s="7">
        <v>9.1999999999999993</v>
      </c>
      <c r="G434" s="7">
        <f t="shared" si="45"/>
        <v>4.8000000000000043</v>
      </c>
      <c r="H434" s="1" t="str">
        <f t="shared" si="46"/>
        <v>Tuesday</v>
      </c>
      <c r="I434" s="102" t="str">
        <f t="shared" si="47"/>
        <v>Week 8</v>
      </c>
    </row>
    <row r="435" spans="2:9" ht="26.25" customHeight="1">
      <c r="B435" s="100">
        <v>46287</v>
      </c>
      <c r="C435" s="1" t="s">
        <v>30</v>
      </c>
      <c r="D435" s="1">
        <v>10</v>
      </c>
      <c r="E435" s="7">
        <v>10</v>
      </c>
      <c r="F435" s="7">
        <v>9.1999999999999993</v>
      </c>
      <c r="G435" s="7">
        <f t="shared" si="45"/>
        <v>8.0000000000000071</v>
      </c>
      <c r="H435" s="1" t="str">
        <f t="shared" si="46"/>
        <v>Tuesday</v>
      </c>
      <c r="I435" s="102" t="str">
        <f t="shared" si="47"/>
        <v>Week 8</v>
      </c>
    </row>
    <row r="436" spans="2:9" ht="26.25" customHeight="1">
      <c r="B436" s="100">
        <v>46287</v>
      </c>
      <c r="C436" s="1" t="s">
        <v>140</v>
      </c>
      <c r="D436" s="1">
        <v>2</v>
      </c>
      <c r="E436" s="7">
        <v>580</v>
      </c>
      <c r="F436" s="7">
        <v>442</v>
      </c>
      <c r="G436" s="7">
        <f t="shared" si="45"/>
        <v>276</v>
      </c>
      <c r="H436" s="1" t="str">
        <f t="shared" si="46"/>
        <v>Tuesday</v>
      </c>
      <c r="I436" s="102" t="str">
        <f t="shared" si="47"/>
        <v>Week 8</v>
      </c>
    </row>
    <row r="437" spans="2:9" ht="26.25" customHeight="1">
      <c r="B437" s="100">
        <v>46287</v>
      </c>
      <c r="C437" s="1" t="s">
        <v>50</v>
      </c>
      <c r="D437" s="1">
        <v>2</v>
      </c>
      <c r="E437" s="7">
        <v>60</v>
      </c>
      <c r="F437" s="7">
        <v>47</v>
      </c>
      <c r="G437" s="7">
        <f t="shared" ref="G437:G452" si="48">(E437-F437)*D437</f>
        <v>26</v>
      </c>
      <c r="H437" s="1" t="str">
        <f t="shared" ref="H437:H452" si="49">TEXT(B437,"dddd")</f>
        <v>Tuesday</v>
      </c>
      <c r="I437" s="102" t="str">
        <f t="shared" ref="I437:I452" si="50">"Week " &amp; (INT((B437 - DATE(2026,8,3)) / 7) + 1)</f>
        <v>Week 8</v>
      </c>
    </row>
    <row r="438" spans="2:9" ht="26.25" customHeight="1">
      <c r="B438" s="100">
        <v>46287</v>
      </c>
      <c r="C438" s="1" t="s">
        <v>141</v>
      </c>
      <c r="D438" s="1">
        <v>2</v>
      </c>
      <c r="E438" s="7">
        <v>110</v>
      </c>
      <c r="F438" s="7">
        <v>88</v>
      </c>
      <c r="G438" s="7">
        <f t="shared" si="48"/>
        <v>44</v>
      </c>
      <c r="H438" s="1" t="str">
        <f t="shared" si="49"/>
        <v>Tuesday</v>
      </c>
      <c r="I438" s="102" t="str">
        <f t="shared" si="50"/>
        <v>Week 8</v>
      </c>
    </row>
    <row r="439" spans="2:9" ht="26.25" customHeight="1">
      <c r="B439" s="100">
        <v>46287</v>
      </c>
      <c r="C439" s="1" t="s">
        <v>112</v>
      </c>
      <c r="D439" s="1">
        <v>2</v>
      </c>
      <c r="E439" s="7">
        <v>80</v>
      </c>
      <c r="F439" s="7">
        <v>71</v>
      </c>
      <c r="G439" s="7">
        <f t="shared" si="48"/>
        <v>18</v>
      </c>
      <c r="H439" s="1" t="str">
        <f t="shared" si="49"/>
        <v>Tuesday</v>
      </c>
      <c r="I439" s="102" t="str">
        <f t="shared" si="50"/>
        <v>Week 8</v>
      </c>
    </row>
    <row r="440" spans="2:9" ht="26.25" customHeight="1">
      <c r="B440" s="100">
        <v>46288</v>
      </c>
      <c r="C440" s="1" t="s">
        <v>142</v>
      </c>
      <c r="D440" s="1">
        <v>4</v>
      </c>
      <c r="E440" s="7">
        <v>120</v>
      </c>
      <c r="F440" s="7">
        <v>84</v>
      </c>
      <c r="G440" s="7">
        <f t="shared" si="48"/>
        <v>144</v>
      </c>
      <c r="H440" s="1" t="str">
        <f t="shared" si="49"/>
        <v>Wednesday</v>
      </c>
      <c r="I440" s="102" t="str">
        <f t="shared" si="50"/>
        <v>Week 8</v>
      </c>
    </row>
    <row r="441" spans="2:9" ht="26.25" customHeight="1">
      <c r="B441" s="100">
        <v>46288</v>
      </c>
      <c r="C441" s="1" t="s">
        <v>143</v>
      </c>
      <c r="D441" s="1">
        <v>2</v>
      </c>
      <c r="E441" s="7">
        <v>220</v>
      </c>
      <c r="F441" s="7">
        <v>180</v>
      </c>
      <c r="G441" s="7">
        <f t="shared" si="48"/>
        <v>80</v>
      </c>
      <c r="H441" s="1" t="str">
        <f t="shared" si="49"/>
        <v>Wednesday</v>
      </c>
      <c r="I441" s="102" t="str">
        <f t="shared" si="50"/>
        <v>Week 8</v>
      </c>
    </row>
    <row r="442" spans="2:9" ht="26.25" customHeight="1">
      <c r="B442" s="100">
        <v>46288</v>
      </c>
      <c r="C442" s="1" t="s">
        <v>52</v>
      </c>
      <c r="D442" s="1">
        <v>2</v>
      </c>
      <c r="E442" s="7">
        <v>45</v>
      </c>
      <c r="F442" s="7">
        <v>38</v>
      </c>
      <c r="G442" s="7">
        <f t="shared" si="48"/>
        <v>14</v>
      </c>
      <c r="H442" s="1" t="str">
        <f t="shared" si="49"/>
        <v>Wednesday</v>
      </c>
      <c r="I442" s="102" t="str">
        <f t="shared" si="50"/>
        <v>Week 8</v>
      </c>
    </row>
    <row r="443" spans="2:9" ht="26.25" customHeight="1">
      <c r="B443" s="100">
        <v>46288</v>
      </c>
      <c r="C443" s="1" t="s">
        <v>163</v>
      </c>
      <c r="D443" s="1">
        <v>2</v>
      </c>
      <c r="E443" s="7">
        <v>230</v>
      </c>
      <c r="F443" s="7">
        <v>193</v>
      </c>
      <c r="G443" s="7">
        <f t="shared" si="48"/>
        <v>74</v>
      </c>
      <c r="H443" s="1" t="str">
        <f t="shared" si="49"/>
        <v>Wednesday</v>
      </c>
      <c r="I443" s="102" t="str">
        <f t="shared" si="50"/>
        <v>Week 8</v>
      </c>
    </row>
    <row r="444" spans="2:9" ht="26.25" customHeight="1">
      <c r="B444" s="100">
        <v>46288</v>
      </c>
      <c r="C444" s="1" t="s">
        <v>165</v>
      </c>
      <c r="D444" s="1">
        <v>6</v>
      </c>
      <c r="E444" s="7">
        <v>30</v>
      </c>
      <c r="F444" s="7">
        <v>22</v>
      </c>
      <c r="G444" s="7">
        <f t="shared" si="48"/>
        <v>48</v>
      </c>
      <c r="H444" s="1" t="str">
        <f t="shared" si="49"/>
        <v>Wednesday</v>
      </c>
      <c r="I444" s="102" t="str">
        <f t="shared" si="50"/>
        <v>Week 8</v>
      </c>
    </row>
    <row r="445" spans="2:9" ht="26.25" customHeight="1">
      <c r="B445" s="100">
        <v>46288</v>
      </c>
      <c r="C445" s="1" t="s">
        <v>72</v>
      </c>
      <c r="D445" s="1">
        <v>1</v>
      </c>
      <c r="E445" s="7">
        <v>40</v>
      </c>
      <c r="F445" s="7">
        <v>30</v>
      </c>
      <c r="G445" s="7">
        <f t="shared" si="48"/>
        <v>10</v>
      </c>
      <c r="H445" s="1" t="str">
        <f t="shared" si="49"/>
        <v>Wednesday</v>
      </c>
      <c r="I445" s="102" t="str">
        <f t="shared" si="50"/>
        <v>Week 8</v>
      </c>
    </row>
    <row r="446" spans="2:9" ht="26.25" customHeight="1">
      <c r="B446" s="100">
        <v>46288</v>
      </c>
      <c r="C446" s="1" t="s">
        <v>173</v>
      </c>
      <c r="D446" s="1">
        <v>4</v>
      </c>
      <c r="E446" s="7">
        <v>20</v>
      </c>
      <c r="F446" s="7">
        <v>14</v>
      </c>
      <c r="G446" s="7">
        <f t="shared" si="48"/>
        <v>24</v>
      </c>
      <c r="H446" s="1" t="str">
        <f t="shared" si="49"/>
        <v>Wednesday</v>
      </c>
      <c r="I446" s="102" t="str">
        <f t="shared" si="50"/>
        <v>Week 8</v>
      </c>
    </row>
    <row r="447" spans="2:9" ht="26.25" customHeight="1">
      <c r="B447" s="100">
        <v>46289</v>
      </c>
      <c r="C447" s="1" t="s">
        <v>76</v>
      </c>
      <c r="D447" s="1">
        <v>12</v>
      </c>
      <c r="E447" s="7">
        <v>180</v>
      </c>
      <c r="F447" s="7">
        <v>163</v>
      </c>
      <c r="G447" s="7">
        <f t="shared" si="48"/>
        <v>204</v>
      </c>
      <c r="H447" s="1" t="str">
        <f t="shared" si="49"/>
        <v>Thursday</v>
      </c>
      <c r="I447" s="102" t="str">
        <f t="shared" si="50"/>
        <v>Week 8</v>
      </c>
    </row>
    <row r="448" spans="2:9" ht="26.25" customHeight="1">
      <c r="B448" s="100">
        <v>46289</v>
      </c>
      <c r="C448" s="1" t="s">
        <v>77</v>
      </c>
      <c r="D448" s="1">
        <v>24</v>
      </c>
      <c r="E448" s="7">
        <v>15</v>
      </c>
      <c r="F448" s="7">
        <v>12.5</v>
      </c>
      <c r="G448" s="7">
        <f t="shared" si="48"/>
        <v>60</v>
      </c>
      <c r="H448" s="1" t="str">
        <f t="shared" si="49"/>
        <v>Thursday</v>
      </c>
      <c r="I448" s="102" t="str">
        <f t="shared" si="50"/>
        <v>Week 8</v>
      </c>
    </row>
    <row r="449" spans="2:9" ht="26.25" customHeight="1">
      <c r="B449" s="100">
        <v>46289</v>
      </c>
      <c r="C449" s="1" t="s">
        <v>106</v>
      </c>
      <c r="D449" s="1">
        <v>12</v>
      </c>
      <c r="E449" s="7">
        <v>15</v>
      </c>
      <c r="F449" s="7">
        <v>12</v>
      </c>
      <c r="G449" s="7">
        <f t="shared" si="48"/>
        <v>36</v>
      </c>
      <c r="H449" s="1" t="str">
        <f t="shared" si="49"/>
        <v>Thursday</v>
      </c>
      <c r="I449" s="102" t="str">
        <f t="shared" si="50"/>
        <v>Week 8</v>
      </c>
    </row>
    <row r="450" spans="2:9" ht="26.25" customHeight="1">
      <c r="B450" s="100">
        <v>46289</v>
      </c>
      <c r="C450" s="1" t="s">
        <v>162</v>
      </c>
      <c r="D450" s="1">
        <v>6</v>
      </c>
      <c r="E450" s="7">
        <v>35</v>
      </c>
      <c r="F450" s="7">
        <v>31</v>
      </c>
      <c r="G450" s="7">
        <f t="shared" si="48"/>
        <v>24</v>
      </c>
      <c r="H450" s="1" t="str">
        <f t="shared" si="49"/>
        <v>Thursday</v>
      </c>
      <c r="I450" s="102" t="str">
        <f t="shared" si="50"/>
        <v>Week 8</v>
      </c>
    </row>
    <row r="451" spans="2:9" ht="26.25" customHeight="1">
      <c r="B451" s="100">
        <v>46289</v>
      </c>
      <c r="C451" s="1" t="s">
        <v>100</v>
      </c>
      <c r="D451" s="1">
        <v>2</v>
      </c>
      <c r="E451" s="7">
        <v>110</v>
      </c>
      <c r="F451" s="7">
        <v>90</v>
      </c>
      <c r="G451" s="7">
        <f t="shared" si="48"/>
        <v>40</v>
      </c>
      <c r="H451" s="1" t="str">
        <f t="shared" si="49"/>
        <v>Thursday</v>
      </c>
      <c r="I451" s="102" t="str">
        <f t="shared" si="50"/>
        <v>Week 8</v>
      </c>
    </row>
    <row r="452" spans="2:9" ht="26.25" customHeight="1">
      <c r="B452" s="100">
        <v>46289</v>
      </c>
      <c r="C452" s="3" t="s">
        <v>31</v>
      </c>
      <c r="D452" s="3">
        <v>2</v>
      </c>
      <c r="E452" s="6">
        <v>150</v>
      </c>
      <c r="F452" s="6">
        <v>134</v>
      </c>
      <c r="G452" s="6">
        <f t="shared" si="48"/>
        <v>32</v>
      </c>
      <c r="H452" s="3" t="str">
        <f t="shared" si="49"/>
        <v>Thursday</v>
      </c>
      <c r="I452" s="103" t="str">
        <f t="shared" si="50"/>
        <v>Week 8</v>
      </c>
    </row>
    <row r="453" spans="2:9" ht="26.25" customHeight="1">
      <c r="B453" s="100">
        <v>46289</v>
      </c>
      <c r="C453" s="1" t="s">
        <v>34</v>
      </c>
      <c r="D453" s="1">
        <v>4</v>
      </c>
      <c r="E453" s="7">
        <v>530</v>
      </c>
      <c r="F453" s="7">
        <v>505</v>
      </c>
      <c r="G453" s="7">
        <f t="shared" ref="G453:G475" si="51">(E453-F453)*D453</f>
        <v>100</v>
      </c>
      <c r="H453" s="1" t="str">
        <f t="shared" ref="H453:H475" si="52">TEXT(B453,"dddd")</f>
        <v>Thursday</v>
      </c>
      <c r="I453" s="102" t="str">
        <f t="shared" ref="I453:I475" si="53">"Week " &amp; (INT((B453 - DATE(2026,8,3)) / 7) + 1)</f>
        <v>Week 8</v>
      </c>
    </row>
    <row r="454" spans="2:9" ht="26.25" customHeight="1">
      <c r="B454" s="100">
        <v>46289</v>
      </c>
      <c r="C454" s="1" t="s">
        <v>156</v>
      </c>
      <c r="D454" s="1">
        <v>4</v>
      </c>
      <c r="E454" s="7">
        <v>110</v>
      </c>
      <c r="F454" s="7">
        <v>93</v>
      </c>
      <c r="G454" s="7">
        <f t="shared" si="51"/>
        <v>68</v>
      </c>
      <c r="H454" s="1" t="str">
        <f t="shared" si="52"/>
        <v>Thursday</v>
      </c>
      <c r="I454" s="102" t="str">
        <f t="shared" si="53"/>
        <v>Week 8</v>
      </c>
    </row>
    <row r="455" spans="2:9" ht="26.25" customHeight="1">
      <c r="B455" s="100">
        <v>46289</v>
      </c>
      <c r="C455" s="1" t="s">
        <v>37</v>
      </c>
      <c r="D455" s="1">
        <v>2</v>
      </c>
      <c r="E455" s="7">
        <v>160</v>
      </c>
      <c r="F455" s="7">
        <v>142</v>
      </c>
      <c r="G455" s="7">
        <f t="shared" si="51"/>
        <v>36</v>
      </c>
      <c r="H455" s="1" t="str">
        <f t="shared" si="52"/>
        <v>Thursday</v>
      </c>
      <c r="I455" s="102" t="str">
        <f t="shared" si="53"/>
        <v>Week 8</v>
      </c>
    </row>
    <row r="456" spans="2:9" ht="26.25" customHeight="1">
      <c r="B456" s="100">
        <v>46289</v>
      </c>
      <c r="C456" s="1" t="s">
        <v>38</v>
      </c>
      <c r="D456" s="1">
        <v>1</v>
      </c>
      <c r="E456" s="7">
        <v>60</v>
      </c>
      <c r="F456" s="7">
        <v>51</v>
      </c>
      <c r="G456" s="7">
        <f t="shared" si="51"/>
        <v>9</v>
      </c>
      <c r="H456" s="1" t="str">
        <f t="shared" si="52"/>
        <v>Thursday</v>
      </c>
      <c r="I456" s="102" t="str">
        <f t="shared" si="53"/>
        <v>Week 8</v>
      </c>
    </row>
    <row r="457" spans="2:9" ht="26.25" customHeight="1">
      <c r="B457" s="100">
        <v>46290</v>
      </c>
      <c r="C457" s="1" t="s">
        <v>32</v>
      </c>
      <c r="D457" s="1">
        <v>3</v>
      </c>
      <c r="E457" s="7">
        <v>60</v>
      </c>
      <c r="F457" s="7">
        <v>52</v>
      </c>
      <c r="G457" s="7">
        <f t="shared" si="51"/>
        <v>24</v>
      </c>
      <c r="H457" s="1" t="str">
        <f t="shared" si="52"/>
        <v>Friday</v>
      </c>
      <c r="I457" s="102" t="str">
        <f t="shared" si="53"/>
        <v>Week 8</v>
      </c>
    </row>
    <row r="458" spans="2:9" ht="26.25" customHeight="1">
      <c r="B458" s="100">
        <v>46290</v>
      </c>
      <c r="C458" s="1" t="s">
        <v>39</v>
      </c>
      <c r="D458" s="1">
        <v>7</v>
      </c>
      <c r="E458" s="7">
        <v>10</v>
      </c>
      <c r="F458" s="7">
        <v>9.1999999999999993</v>
      </c>
      <c r="G458" s="7">
        <f t="shared" si="51"/>
        <v>5.600000000000005</v>
      </c>
      <c r="H458" s="1" t="str">
        <f t="shared" si="52"/>
        <v>Friday</v>
      </c>
      <c r="I458" s="102" t="str">
        <f t="shared" si="53"/>
        <v>Week 8</v>
      </c>
    </row>
    <row r="459" spans="2:9" ht="26.25" customHeight="1">
      <c r="B459" s="100">
        <v>46290</v>
      </c>
      <c r="C459" s="1" t="s">
        <v>76</v>
      </c>
      <c r="D459" s="1">
        <v>2</v>
      </c>
      <c r="E459" s="7">
        <v>140</v>
      </c>
      <c r="F459" s="7">
        <v>112</v>
      </c>
      <c r="G459" s="7">
        <f t="shared" si="51"/>
        <v>56</v>
      </c>
      <c r="H459" s="1" t="str">
        <f t="shared" si="52"/>
        <v>Friday</v>
      </c>
      <c r="I459" s="102" t="str">
        <f t="shared" si="53"/>
        <v>Week 8</v>
      </c>
    </row>
    <row r="460" spans="2:9" ht="26.25" customHeight="1">
      <c r="B460" s="100">
        <v>46290</v>
      </c>
      <c r="C460" s="1" t="s">
        <v>77</v>
      </c>
      <c r="D460" s="1">
        <v>20</v>
      </c>
      <c r="E460" s="7">
        <v>15</v>
      </c>
      <c r="F460" s="7">
        <v>13</v>
      </c>
      <c r="G460" s="7">
        <f t="shared" si="51"/>
        <v>40</v>
      </c>
      <c r="H460" s="1" t="str">
        <f t="shared" si="52"/>
        <v>Friday</v>
      </c>
      <c r="I460" s="102" t="str">
        <f t="shared" si="53"/>
        <v>Week 8</v>
      </c>
    </row>
    <row r="461" spans="2:9" ht="26.25" customHeight="1">
      <c r="B461" s="100">
        <v>46290</v>
      </c>
      <c r="C461" s="1" t="s">
        <v>106</v>
      </c>
      <c r="D461" s="1">
        <v>10</v>
      </c>
      <c r="E461" s="7">
        <v>10</v>
      </c>
      <c r="F461" s="7">
        <v>9.1</v>
      </c>
      <c r="G461" s="7">
        <f t="shared" si="51"/>
        <v>9.0000000000000036</v>
      </c>
      <c r="H461" s="1" t="str">
        <f t="shared" si="52"/>
        <v>Friday</v>
      </c>
      <c r="I461" s="102" t="str">
        <f t="shared" si="53"/>
        <v>Week 8</v>
      </c>
    </row>
    <row r="462" spans="2:9" ht="26.25" customHeight="1">
      <c r="B462" s="100">
        <v>46290</v>
      </c>
      <c r="C462" s="1" t="s">
        <v>29</v>
      </c>
      <c r="D462" s="1">
        <v>3</v>
      </c>
      <c r="E462" s="7">
        <v>20</v>
      </c>
      <c r="F462" s="7">
        <v>12</v>
      </c>
      <c r="G462" s="7">
        <f t="shared" si="51"/>
        <v>24</v>
      </c>
      <c r="H462" s="1" t="str">
        <f t="shared" si="52"/>
        <v>Friday</v>
      </c>
      <c r="I462" s="102" t="str">
        <f t="shared" si="53"/>
        <v>Week 8</v>
      </c>
    </row>
    <row r="463" spans="2:9" ht="26.25" customHeight="1">
      <c r="B463" s="100">
        <v>46290</v>
      </c>
      <c r="C463" s="1" t="s">
        <v>26</v>
      </c>
      <c r="D463" s="1">
        <v>1</v>
      </c>
      <c r="E463" s="7">
        <v>1125</v>
      </c>
      <c r="F463" s="7">
        <v>980</v>
      </c>
      <c r="G463" s="7">
        <f t="shared" si="51"/>
        <v>145</v>
      </c>
      <c r="H463" s="1" t="str">
        <f t="shared" si="52"/>
        <v>Friday</v>
      </c>
      <c r="I463" s="102" t="str">
        <f t="shared" si="53"/>
        <v>Week 8</v>
      </c>
    </row>
    <row r="464" spans="2:9" ht="26.25" customHeight="1">
      <c r="B464" s="100">
        <v>46290</v>
      </c>
      <c r="C464" s="1" t="s">
        <v>174</v>
      </c>
      <c r="D464" s="1">
        <v>3</v>
      </c>
      <c r="E464" s="7">
        <v>10</v>
      </c>
      <c r="F464" s="7">
        <v>8</v>
      </c>
      <c r="G464" s="7">
        <f t="shared" si="51"/>
        <v>6</v>
      </c>
      <c r="H464" s="1" t="str">
        <f t="shared" si="52"/>
        <v>Friday</v>
      </c>
      <c r="I464" s="102" t="str">
        <f t="shared" si="53"/>
        <v>Week 8</v>
      </c>
    </row>
    <row r="465" spans="2:9" ht="26.25" customHeight="1">
      <c r="B465" s="100">
        <v>46290</v>
      </c>
      <c r="C465" s="1" t="s">
        <v>129</v>
      </c>
      <c r="D465" s="1">
        <v>6</v>
      </c>
      <c r="E465" s="7">
        <v>15</v>
      </c>
      <c r="F465" s="7">
        <v>9</v>
      </c>
      <c r="G465" s="7">
        <f t="shared" si="51"/>
        <v>36</v>
      </c>
      <c r="H465" s="1" t="str">
        <f t="shared" si="52"/>
        <v>Friday</v>
      </c>
      <c r="I465" s="102" t="str">
        <f t="shared" si="53"/>
        <v>Week 8</v>
      </c>
    </row>
    <row r="466" spans="2:9" ht="26.25" customHeight="1">
      <c r="B466" s="100">
        <v>46290</v>
      </c>
      <c r="C466" s="1" t="s">
        <v>175</v>
      </c>
      <c r="D466" s="1">
        <v>1</v>
      </c>
      <c r="E466" s="7">
        <v>170</v>
      </c>
      <c r="F466" s="7">
        <v>137</v>
      </c>
      <c r="G466" s="7">
        <f t="shared" si="51"/>
        <v>33</v>
      </c>
      <c r="H466" s="1" t="str">
        <f t="shared" si="52"/>
        <v>Friday</v>
      </c>
      <c r="I466" s="102" t="str">
        <f t="shared" si="53"/>
        <v>Week 8</v>
      </c>
    </row>
    <row r="467" spans="2:9" ht="26.25" customHeight="1">
      <c r="B467" s="100">
        <v>46290</v>
      </c>
      <c r="C467" s="1" t="s">
        <v>84</v>
      </c>
      <c r="D467" s="1">
        <v>11</v>
      </c>
      <c r="E467" s="7">
        <v>10</v>
      </c>
      <c r="F467" s="7">
        <v>9.1999999999999993</v>
      </c>
      <c r="G467" s="7">
        <f t="shared" si="51"/>
        <v>8.8000000000000078</v>
      </c>
      <c r="H467" s="1" t="str">
        <f t="shared" si="52"/>
        <v>Friday</v>
      </c>
      <c r="I467" s="102" t="str">
        <f t="shared" si="53"/>
        <v>Week 8</v>
      </c>
    </row>
    <row r="468" spans="2:9" ht="26.25" customHeight="1">
      <c r="B468" s="100">
        <v>46291</v>
      </c>
      <c r="C468" s="1" t="s">
        <v>57</v>
      </c>
      <c r="D468" s="1">
        <v>1</v>
      </c>
      <c r="E468" s="7">
        <v>1100</v>
      </c>
      <c r="F468" s="7">
        <v>920</v>
      </c>
      <c r="G468" s="7">
        <f t="shared" si="51"/>
        <v>180</v>
      </c>
      <c r="H468" s="1" t="str">
        <f t="shared" si="52"/>
        <v>Saturday</v>
      </c>
      <c r="I468" s="102" t="str">
        <f t="shared" si="53"/>
        <v>Week 8</v>
      </c>
    </row>
    <row r="469" spans="2:9" ht="26.25" customHeight="1">
      <c r="B469" s="100">
        <v>46291</v>
      </c>
      <c r="C469" s="1" t="s">
        <v>176</v>
      </c>
      <c r="D469" s="1">
        <v>1</v>
      </c>
      <c r="E469" s="7">
        <v>120</v>
      </c>
      <c r="F469" s="7">
        <v>92</v>
      </c>
      <c r="G469" s="7">
        <f t="shared" si="51"/>
        <v>28</v>
      </c>
      <c r="H469" s="1" t="str">
        <f t="shared" si="52"/>
        <v>Saturday</v>
      </c>
      <c r="I469" s="102" t="str">
        <f t="shared" si="53"/>
        <v>Week 8</v>
      </c>
    </row>
    <row r="470" spans="2:9" ht="26.25" customHeight="1">
      <c r="B470" s="100">
        <v>46291</v>
      </c>
      <c r="C470" s="1" t="s">
        <v>29</v>
      </c>
      <c r="D470" s="1">
        <v>5</v>
      </c>
      <c r="E470" s="7">
        <v>20</v>
      </c>
      <c r="F470" s="7">
        <v>14</v>
      </c>
      <c r="G470" s="7">
        <f t="shared" si="51"/>
        <v>30</v>
      </c>
      <c r="H470" s="1" t="str">
        <f t="shared" si="52"/>
        <v>Saturday</v>
      </c>
      <c r="I470" s="102" t="str">
        <f t="shared" si="53"/>
        <v>Week 8</v>
      </c>
    </row>
    <row r="471" spans="2:9" ht="26.25" customHeight="1">
      <c r="B471" s="100">
        <v>46291</v>
      </c>
      <c r="C471" s="1" t="s">
        <v>47</v>
      </c>
      <c r="D471" s="1">
        <v>2</v>
      </c>
      <c r="E471" s="7">
        <v>70</v>
      </c>
      <c r="F471" s="7">
        <v>57</v>
      </c>
      <c r="G471" s="7">
        <f t="shared" si="51"/>
        <v>26</v>
      </c>
      <c r="H471" s="1" t="str">
        <f t="shared" si="52"/>
        <v>Saturday</v>
      </c>
      <c r="I471" s="102" t="str">
        <f t="shared" si="53"/>
        <v>Week 8</v>
      </c>
    </row>
    <row r="472" spans="2:9" ht="26.25" customHeight="1">
      <c r="B472" s="100">
        <v>46291</v>
      </c>
      <c r="C472" s="1" t="s">
        <v>41</v>
      </c>
      <c r="D472" s="1">
        <v>4</v>
      </c>
      <c r="E472" s="7">
        <v>325</v>
      </c>
      <c r="F472" s="7">
        <v>297</v>
      </c>
      <c r="G472" s="7">
        <f t="shared" si="51"/>
        <v>112</v>
      </c>
      <c r="H472" s="1" t="str">
        <f t="shared" si="52"/>
        <v>Saturday</v>
      </c>
      <c r="I472" s="102" t="str">
        <f t="shared" si="53"/>
        <v>Week 8</v>
      </c>
    </row>
    <row r="473" spans="2:9" ht="26.25" customHeight="1">
      <c r="B473" s="100">
        <v>46291</v>
      </c>
      <c r="C473" s="1" t="s">
        <v>43</v>
      </c>
      <c r="D473" s="1">
        <v>6</v>
      </c>
      <c r="E473" s="7">
        <v>60</v>
      </c>
      <c r="F473" s="7">
        <v>52</v>
      </c>
      <c r="G473" s="7">
        <f t="shared" si="51"/>
        <v>48</v>
      </c>
      <c r="H473" s="1" t="str">
        <f t="shared" si="52"/>
        <v>Saturday</v>
      </c>
      <c r="I473" s="102" t="str">
        <f t="shared" si="53"/>
        <v>Week 8</v>
      </c>
    </row>
    <row r="474" spans="2:9" ht="26.25" customHeight="1">
      <c r="B474" s="100">
        <v>46291</v>
      </c>
      <c r="C474" s="1" t="s">
        <v>155</v>
      </c>
      <c r="D474" s="1">
        <v>15</v>
      </c>
      <c r="E474" s="7">
        <v>10</v>
      </c>
      <c r="F474" s="7">
        <v>7</v>
      </c>
      <c r="G474" s="7">
        <f t="shared" si="51"/>
        <v>45</v>
      </c>
      <c r="H474" s="1" t="str">
        <f t="shared" si="52"/>
        <v>Saturday</v>
      </c>
      <c r="I474" s="102" t="str">
        <f t="shared" si="53"/>
        <v>Week 8</v>
      </c>
    </row>
    <row r="475" spans="2:9" ht="26.25" customHeight="1">
      <c r="B475" s="100">
        <v>46291</v>
      </c>
      <c r="C475" s="3" t="s">
        <v>55</v>
      </c>
      <c r="D475" s="3">
        <v>2</v>
      </c>
      <c r="E475" s="6">
        <v>60</v>
      </c>
      <c r="F475" s="6">
        <v>42</v>
      </c>
      <c r="G475" s="6">
        <f t="shared" si="51"/>
        <v>36</v>
      </c>
      <c r="H475" s="3" t="str">
        <f t="shared" si="52"/>
        <v>Saturday</v>
      </c>
      <c r="I475" s="103" t="str">
        <f t="shared" si="53"/>
        <v>Week 8</v>
      </c>
    </row>
    <row r="476" spans="2:9" ht="26.25" customHeight="1">
      <c r="B476" s="3"/>
      <c r="C476" s="3"/>
      <c r="D476" s="3"/>
      <c r="E476" s="3"/>
      <c r="F476" s="3"/>
      <c r="G476" s="3"/>
      <c r="H476" s="3"/>
      <c r="I476" s="3"/>
    </row>
    <row r="477" spans="2:9" ht="26.25" customHeight="1">
      <c r="B477" s="3"/>
      <c r="C477" s="3"/>
      <c r="D477" s="3"/>
      <c r="E477" s="3"/>
      <c r="F477" s="3"/>
      <c r="G477" s="3"/>
      <c r="H477" s="3"/>
      <c r="I477" s="3"/>
    </row>
    <row r="478" spans="2:9" ht="26.25" customHeight="1">
      <c r="B478" s="3"/>
      <c r="C478" s="3"/>
      <c r="D478" s="3"/>
      <c r="E478" s="3"/>
      <c r="F478" s="3"/>
      <c r="G478" s="3"/>
      <c r="H478" s="3"/>
      <c r="I478" s="3"/>
    </row>
    <row r="479" spans="2:9" ht="26.25" customHeight="1">
      <c r="B479" s="3"/>
      <c r="C479" s="3"/>
      <c r="D479" s="3"/>
      <c r="E479" s="3"/>
      <c r="F479" s="3"/>
      <c r="G479" s="3"/>
      <c r="H479" s="3"/>
      <c r="I479" s="3"/>
    </row>
    <row r="480" spans="2:9" ht="26.25" customHeight="1">
      <c r="B480" s="3"/>
      <c r="C480" s="3"/>
      <c r="D480" s="3"/>
      <c r="E480" s="3"/>
      <c r="F480" s="3"/>
      <c r="G480" s="3"/>
      <c r="H480" s="3"/>
      <c r="I480" s="3"/>
    </row>
    <row r="481" spans="2:9" ht="26.25" customHeight="1">
      <c r="B481" s="3"/>
      <c r="C481" s="3"/>
      <c r="D481" s="3"/>
      <c r="E481" s="3"/>
      <c r="F481" s="3"/>
      <c r="G481" s="3"/>
      <c r="H481" s="3"/>
      <c r="I481" s="3"/>
    </row>
    <row r="482" spans="2:9" ht="26.25" customHeight="1">
      <c r="B482" s="3"/>
      <c r="C482" s="3"/>
      <c r="D482" s="3"/>
      <c r="E482" s="3"/>
      <c r="F482" s="3"/>
      <c r="G482" s="3"/>
      <c r="H482" s="3"/>
      <c r="I482" s="3"/>
    </row>
    <row r="483" spans="2:9" ht="26.25" customHeight="1">
      <c r="B483" s="3"/>
      <c r="C483" s="3"/>
      <c r="D483" s="3"/>
      <c r="E483" s="3"/>
      <c r="F483" s="3"/>
      <c r="G483" s="3"/>
      <c r="H483" s="3"/>
      <c r="I483" s="3"/>
    </row>
    <row r="484" spans="2:9" ht="26.25" customHeight="1">
      <c r="B484" s="3"/>
      <c r="C484" s="3"/>
      <c r="D484" s="3"/>
      <c r="E484" s="3"/>
      <c r="F484" s="3"/>
      <c r="G484" s="3"/>
      <c r="H484" s="3"/>
      <c r="I484" s="3"/>
    </row>
    <row r="485" spans="2:9" ht="26.25" customHeight="1">
      <c r="B485" s="3"/>
      <c r="C485" s="3"/>
      <c r="D485" s="3"/>
      <c r="E485" s="3"/>
      <c r="F485" s="3"/>
      <c r="G485" s="3"/>
      <c r="H485" s="3"/>
      <c r="I485" s="3"/>
    </row>
    <row r="486" spans="2:9" ht="26.25" customHeight="1">
      <c r="B486" s="3"/>
      <c r="C486" s="3"/>
      <c r="D486" s="3"/>
      <c r="E486" s="3"/>
      <c r="F486" s="3"/>
      <c r="G486" s="3"/>
      <c r="H486" s="3"/>
      <c r="I486" s="3"/>
    </row>
    <row r="487" spans="2:9" ht="26.25" customHeight="1">
      <c r="B487" s="3"/>
      <c r="C487" s="3"/>
      <c r="D487" s="3"/>
      <c r="E487" s="3"/>
      <c r="F487" s="3"/>
      <c r="G487" s="3"/>
      <c r="H487" s="3"/>
      <c r="I487" s="3"/>
    </row>
    <row r="488" spans="2:9" ht="26.25" customHeight="1">
      <c r="B488" s="3"/>
      <c r="C488" s="3"/>
      <c r="D488" s="3"/>
      <c r="E488" s="3"/>
      <c r="F488" s="3"/>
      <c r="G488" s="3"/>
      <c r="H488" s="3"/>
      <c r="I488" s="3"/>
    </row>
    <row r="489" spans="2:9" ht="26.25" customHeight="1">
      <c r="B489" s="3"/>
      <c r="C489" s="3"/>
      <c r="D489" s="3"/>
      <c r="E489" s="3"/>
      <c r="F489" s="3"/>
      <c r="G489" s="3"/>
      <c r="H489" s="3"/>
      <c r="I489" s="3"/>
    </row>
    <row r="490" spans="2:9" ht="26.25" customHeight="1">
      <c r="B490" s="3"/>
      <c r="C490" s="3"/>
      <c r="D490" s="3"/>
      <c r="E490" s="3"/>
      <c r="F490" s="3"/>
      <c r="G490" s="3"/>
      <c r="H490" s="3"/>
      <c r="I490" s="3"/>
    </row>
    <row r="491" spans="2:9" ht="26.25" customHeight="1">
      <c r="B491" s="3"/>
      <c r="C491" s="3"/>
      <c r="D491" s="3"/>
      <c r="E491" s="3"/>
      <c r="F491" s="3"/>
      <c r="G491" s="3"/>
      <c r="H491" s="3"/>
      <c r="I491" s="3"/>
    </row>
    <row r="492" spans="2:9" ht="26.25" customHeight="1">
      <c r="B492" s="3"/>
      <c r="C492" s="3"/>
      <c r="D492" s="3"/>
      <c r="E492" s="3"/>
      <c r="F492" s="3"/>
      <c r="G492" s="3"/>
      <c r="H492" s="3"/>
      <c r="I492" s="3"/>
    </row>
    <row r="493" spans="2:9" ht="26.25" customHeight="1">
      <c r="B493" s="3"/>
      <c r="C493" s="3"/>
      <c r="D493" s="3"/>
      <c r="E493" s="3"/>
      <c r="F493" s="3"/>
      <c r="G493" s="3"/>
      <c r="H493" s="3"/>
      <c r="I493" s="3"/>
    </row>
    <row r="494" spans="2:9" ht="26.25" customHeight="1">
      <c r="B494" s="3"/>
      <c r="C494" s="3"/>
      <c r="D494" s="3"/>
      <c r="E494" s="3"/>
      <c r="F494" s="3"/>
      <c r="G494" s="3"/>
      <c r="H494" s="3"/>
      <c r="I494" s="3"/>
    </row>
    <row r="495" spans="2:9" ht="26.25" customHeight="1">
      <c r="B495" s="3"/>
      <c r="C495" s="3"/>
      <c r="D495" s="3"/>
      <c r="E495" s="3"/>
      <c r="F495" s="3"/>
      <c r="G495" s="3"/>
      <c r="H495" s="3"/>
      <c r="I495" s="3"/>
    </row>
    <row r="496" spans="2:9" ht="26.25" customHeight="1">
      <c r="B496" s="3"/>
      <c r="C496" s="3"/>
      <c r="D496" s="3"/>
      <c r="E496" s="3"/>
      <c r="F496" s="3"/>
      <c r="G496" s="3"/>
      <c r="H496" s="3"/>
      <c r="I496" s="3"/>
    </row>
    <row r="497" spans="2:9" ht="26.25" customHeight="1">
      <c r="B497" s="3"/>
      <c r="C497" s="3"/>
      <c r="D497" s="3"/>
      <c r="E497" s="3"/>
      <c r="F497" s="3"/>
      <c r="G497" s="3"/>
      <c r="H497" s="3"/>
      <c r="I497" s="3"/>
    </row>
    <row r="498" spans="2:9" ht="26.25" customHeight="1">
      <c r="B498" s="3"/>
      <c r="C498" s="3"/>
      <c r="D498" s="3"/>
      <c r="E498" s="3"/>
      <c r="F498" s="3"/>
      <c r="G498" s="3"/>
      <c r="H498" s="3"/>
      <c r="I498" s="3"/>
    </row>
    <row r="499" spans="2:9" ht="26.25" customHeight="1">
      <c r="B499" s="3"/>
      <c r="C499" s="3"/>
      <c r="D499" s="3"/>
      <c r="E499" s="3"/>
      <c r="F499" s="3"/>
      <c r="G499" s="3"/>
      <c r="H499" s="3"/>
      <c r="I499" s="3"/>
    </row>
    <row r="500" spans="2:9" ht="26.25" customHeight="1">
      <c r="B500" s="3"/>
      <c r="C500" s="3"/>
      <c r="D500" s="3"/>
      <c r="E500" s="3"/>
      <c r="F500" s="3"/>
      <c r="G500" s="3"/>
      <c r="H500" s="3"/>
      <c r="I500" s="3"/>
    </row>
    <row r="501" spans="2:9" ht="26.25" customHeight="1">
      <c r="B501" s="3"/>
      <c r="C501" s="3"/>
      <c r="D501" s="3"/>
      <c r="E501" s="3"/>
      <c r="F501" s="3"/>
      <c r="G501" s="3"/>
      <c r="H501" s="3"/>
      <c r="I501" s="3"/>
    </row>
    <row r="502" spans="2:9" ht="26.25" customHeight="1">
      <c r="B502" s="3"/>
      <c r="C502" s="3"/>
      <c r="D502" s="3"/>
      <c r="E502" s="3"/>
      <c r="F502" s="3"/>
      <c r="G502" s="3"/>
      <c r="H502" s="3"/>
      <c r="I502" s="3"/>
    </row>
    <row r="503" spans="2:9" ht="26.25" customHeight="1">
      <c r="B503" s="3"/>
      <c r="C503" s="3"/>
      <c r="D503" s="3"/>
      <c r="E503" s="3"/>
      <c r="F503" s="3"/>
      <c r="G503" s="3"/>
      <c r="H503" s="3"/>
      <c r="I503" s="3"/>
    </row>
    <row r="504" spans="2:9" ht="26.25" customHeight="1">
      <c r="B504" s="3"/>
      <c r="C504" s="3"/>
      <c r="D504" s="3"/>
      <c r="E504" s="3"/>
      <c r="F504" s="3"/>
      <c r="G504" s="3"/>
      <c r="H504" s="3"/>
      <c r="I504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8294-62BD-484F-A80B-A729171D419B}">
  <dimension ref="E2:Y50"/>
  <sheetViews>
    <sheetView topLeftCell="F32" workbookViewId="0">
      <selection activeCell="O52" sqref="O52"/>
    </sheetView>
  </sheetViews>
  <sheetFormatPr defaultColWidth="9.42578125" defaultRowHeight="20.25" customHeight="1"/>
  <cols>
    <col min="5" max="5" width="14.5703125" customWidth="1"/>
    <col min="6" max="6" width="24.42578125" customWidth="1"/>
    <col min="14" max="14" width="19.140625" bestFit="1" customWidth="1"/>
    <col min="15" max="15" width="21.28515625" style="5" bestFit="1" customWidth="1"/>
    <col min="24" max="24" width="16.42578125" bestFit="1" customWidth="1"/>
    <col min="25" max="25" width="10.85546875" bestFit="1" customWidth="1"/>
  </cols>
  <sheetData>
    <row r="2" spans="5:25" ht="15" customHeight="1">
      <c r="E2" s="19" t="s">
        <v>24</v>
      </c>
      <c r="F2" s="20" t="s">
        <v>177</v>
      </c>
      <c r="N2" s="14" t="s">
        <v>24</v>
      </c>
      <c r="O2" s="24" t="s">
        <v>177</v>
      </c>
      <c r="X2" s="12" t="s">
        <v>24</v>
      </c>
      <c r="Y2" s="13" t="s">
        <v>177</v>
      </c>
    </row>
    <row r="4" spans="5:25" ht="15" customHeight="1">
      <c r="E4" s="11" t="s">
        <v>17</v>
      </c>
      <c r="F4" s="23" t="s">
        <v>178</v>
      </c>
      <c r="N4" s="26" t="s">
        <v>18</v>
      </c>
      <c r="O4" s="28" t="s">
        <v>179</v>
      </c>
      <c r="X4" s="12" t="s">
        <v>18</v>
      </c>
      <c r="Y4" s="13" t="s">
        <v>180</v>
      </c>
    </row>
    <row r="5" spans="5:25" ht="17.25" customHeight="1">
      <c r="E5" s="10">
        <v>46237</v>
      </c>
      <c r="F5" s="21">
        <v>562.20000000000005</v>
      </c>
      <c r="N5" s="27" t="s">
        <v>28</v>
      </c>
      <c r="O5" s="29">
        <v>470</v>
      </c>
      <c r="X5" s="13" t="s">
        <v>59</v>
      </c>
      <c r="Y5" s="15">
        <v>21</v>
      </c>
    </row>
    <row r="6" spans="5:25" ht="15" customHeight="1">
      <c r="E6" s="10">
        <v>46238</v>
      </c>
      <c r="F6" s="21">
        <v>683</v>
      </c>
      <c r="N6" s="27" t="s">
        <v>40</v>
      </c>
      <c r="O6" s="29">
        <v>380</v>
      </c>
      <c r="X6" s="13" t="s">
        <v>56</v>
      </c>
      <c r="Y6" s="16">
        <v>20</v>
      </c>
    </row>
    <row r="7" spans="5:25" ht="15" customHeight="1">
      <c r="E7" s="10">
        <v>46239</v>
      </c>
      <c r="F7" s="21">
        <v>272</v>
      </c>
      <c r="N7" s="27" t="s">
        <v>49</v>
      </c>
      <c r="O7" s="29">
        <v>256</v>
      </c>
      <c r="X7" s="13" t="s">
        <v>53</v>
      </c>
      <c r="Y7" s="16">
        <v>15</v>
      </c>
    </row>
    <row r="8" spans="5:25" ht="15" customHeight="1">
      <c r="E8" s="10">
        <v>46240</v>
      </c>
      <c r="F8" s="21">
        <v>558</v>
      </c>
      <c r="N8" s="27" t="s">
        <v>25</v>
      </c>
      <c r="O8" s="29">
        <v>238</v>
      </c>
      <c r="X8" s="13" t="s">
        <v>25</v>
      </c>
      <c r="Y8" s="16">
        <v>14</v>
      </c>
    </row>
    <row r="9" spans="5:25" ht="15" customHeight="1">
      <c r="E9" s="10">
        <v>46241</v>
      </c>
      <c r="F9" s="21">
        <v>601.5</v>
      </c>
      <c r="N9" s="27" t="s">
        <v>57</v>
      </c>
      <c r="O9" s="29">
        <v>220</v>
      </c>
      <c r="X9" s="13" t="s">
        <v>32</v>
      </c>
      <c r="Y9" s="16">
        <v>14</v>
      </c>
    </row>
    <row r="10" spans="5:25" ht="15" customHeight="1">
      <c r="E10" s="10">
        <v>46242</v>
      </c>
      <c r="F10" s="21">
        <v>399.4</v>
      </c>
      <c r="N10" s="27" t="s">
        <v>34</v>
      </c>
      <c r="O10" s="29">
        <v>162</v>
      </c>
      <c r="X10" s="13" t="s">
        <v>29</v>
      </c>
      <c r="Y10" s="16">
        <v>10</v>
      </c>
    </row>
    <row r="11" spans="5:25" ht="15" customHeight="1">
      <c r="E11" s="10">
        <v>46243</v>
      </c>
      <c r="F11" s="21">
        <v>564.29999999999995</v>
      </c>
      <c r="N11" s="27" t="s">
        <v>32</v>
      </c>
      <c r="O11" s="29">
        <v>126</v>
      </c>
      <c r="X11" s="13" t="s">
        <v>30</v>
      </c>
      <c r="Y11" s="16">
        <v>8</v>
      </c>
    </row>
    <row r="12" spans="5:25" ht="15" customHeight="1">
      <c r="E12" s="22" t="s">
        <v>181</v>
      </c>
      <c r="F12" s="9">
        <v>3640.3999999999996</v>
      </c>
      <c r="N12" s="27" t="s">
        <v>26</v>
      </c>
      <c r="O12" s="29">
        <v>120</v>
      </c>
      <c r="X12" s="13" t="s">
        <v>54</v>
      </c>
      <c r="Y12" s="16">
        <v>8</v>
      </c>
    </row>
    <row r="13" spans="5:25" ht="15" customHeight="1">
      <c r="N13" s="27" t="s">
        <v>53</v>
      </c>
      <c r="O13" s="29">
        <v>97.5</v>
      </c>
      <c r="X13" s="13" t="s">
        <v>39</v>
      </c>
      <c r="Y13" s="16">
        <v>7</v>
      </c>
    </row>
    <row r="14" spans="5:25" ht="15" customHeight="1">
      <c r="N14" s="27" t="s">
        <v>51</v>
      </c>
      <c r="O14" s="29">
        <v>96</v>
      </c>
      <c r="X14" s="13" t="s">
        <v>43</v>
      </c>
      <c r="Y14" s="16">
        <v>6</v>
      </c>
    </row>
    <row r="15" spans="5:25" ht="15" customHeight="1">
      <c r="N15" s="27" t="s">
        <v>48</v>
      </c>
      <c r="O15" s="29">
        <v>94</v>
      </c>
      <c r="X15" s="13" t="s">
        <v>35</v>
      </c>
      <c r="Y15" s="16">
        <v>6</v>
      </c>
    </row>
    <row r="16" spans="5:25" ht="15" customHeight="1">
      <c r="N16" s="27" t="s">
        <v>36</v>
      </c>
      <c r="O16" s="29">
        <v>84</v>
      </c>
      <c r="X16" s="13" t="s">
        <v>45</v>
      </c>
      <c r="Y16" s="16">
        <v>6</v>
      </c>
    </row>
    <row r="17" spans="14:25" ht="15" customHeight="1">
      <c r="N17" s="27" t="s">
        <v>55</v>
      </c>
      <c r="O17" s="29">
        <v>76</v>
      </c>
      <c r="X17" s="13" t="s">
        <v>34</v>
      </c>
      <c r="Y17" s="16">
        <v>6</v>
      </c>
    </row>
    <row r="18" spans="14:25" ht="15" customHeight="1">
      <c r="N18" s="27" t="s">
        <v>60</v>
      </c>
      <c r="O18" s="29">
        <v>74</v>
      </c>
      <c r="X18" s="13" t="s">
        <v>42</v>
      </c>
      <c r="Y18" s="16">
        <v>5</v>
      </c>
    </row>
    <row r="19" spans="14:25" ht="15" customHeight="1">
      <c r="N19" s="27" t="s">
        <v>35</v>
      </c>
      <c r="O19" s="29">
        <v>72</v>
      </c>
      <c r="X19" s="13" t="s">
        <v>36</v>
      </c>
      <c r="Y19" s="16">
        <v>4</v>
      </c>
    </row>
    <row r="20" spans="14:25" ht="15" customHeight="1">
      <c r="N20" s="27" t="s">
        <v>66</v>
      </c>
      <c r="O20" s="29">
        <v>70</v>
      </c>
      <c r="X20" s="13" t="s">
        <v>38</v>
      </c>
      <c r="Y20" s="16">
        <v>4</v>
      </c>
    </row>
    <row r="21" spans="14:25" ht="15" customHeight="1">
      <c r="N21" s="27" t="s">
        <v>31</v>
      </c>
      <c r="O21" s="29">
        <v>70</v>
      </c>
      <c r="X21" s="13" t="s">
        <v>51</v>
      </c>
      <c r="Y21" s="16">
        <v>4</v>
      </c>
    </row>
    <row r="22" spans="14:25" ht="15" customHeight="1">
      <c r="N22" s="27" t="s">
        <v>41</v>
      </c>
      <c r="O22" s="29">
        <v>66</v>
      </c>
      <c r="X22" s="13" t="s">
        <v>33</v>
      </c>
      <c r="Y22" s="16">
        <v>4</v>
      </c>
    </row>
    <row r="23" spans="14:25" ht="15" customHeight="1">
      <c r="N23" s="27" t="s">
        <v>29</v>
      </c>
      <c r="O23" s="29">
        <v>64</v>
      </c>
      <c r="X23" s="13" t="s">
        <v>68</v>
      </c>
      <c r="Y23" s="16">
        <v>4</v>
      </c>
    </row>
    <row r="24" spans="14:25" ht="15" customHeight="1">
      <c r="N24" s="27" t="s">
        <v>42</v>
      </c>
      <c r="O24" s="29">
        <v>55</v>
      </c>
      <c r="X24" s="13" t="s">
        <v>40</v>
      </c>
      <c r="Y24" s="16">
        <v>4</v>
      </c>
    </row>
    <row r="25" spans="14:25" ht="15" customHeight="1">
      <c r="N25" s="27" t="s">
        <v>61</v>
      </c>
      <c r="O25" s="29">
        <v>54</v>
      </c>
      <c r="X25" s="13" t="s">
        <v>69</v>
      </c>
      <c r="Y25" s="16">
        <v>3</v>
      </c>
    </row>
    <row r="26" spans="14:25" ht="15" customHeight="1">
      <c r="N26" s="27" t="s">
        <v>27</v>
      </c>
      <c r="O26" s="29">
        <v>52</v>
      </c>
      <c r="X26" s="13" t="s">
        <v>61</v>
      </c>
      <c r="Y26" s="16">
        <v>3</v>
      </c>
    </row>
    <row r="27" spans="14:25" ht="15" customHeight="1">
      <c r="N27" s="27" t="s">
        <v>56</v>
      </c>
      <c r="O27" s="29">
        <v>48</v>
      </c>
      <c r="X27" s="13" t="s">
        <v>58</v>
      </c>
      <c r="Y27" s="16">
        <v>3</v>
      </c>
    </row>
    <row r="28" spans="14:25" ht="15" customHeight="1">
      <c r="N28" s="27" t="s">
        <v>43</v>
      </c>
      <c r="O28" s="29">
        <v>48</v>
      </c>
      <c r="X28" s="13" t="s">
        <v>28</v>
      </c>
      <c r="Y28" s="16">
        <v>3</v>
      </c>
    </row>
    <row r="29" spans="14:25" ht="15" customHeight="1">
      <c r="N29" s="27" t="s">
        <v>47</v>
      </c>
      <c r="O29" s="29">
        <v>48</v>
      </c>
      <c r="X29" s="13" t="s">
        <v>49</v>
      </c>
      <c r="Y29" s="16">
        <v>2</v>
      </c>
    </row>
    <row r="30" spans="14:25" ht="15" customHeight="1">
      <c r="N30" s="27" t="s">
        <v>64</v>
      </c>
      <c r="O30" s="29">
        <v>43</v>
      </c>
      <c r="X30" s="13" t="s">
        <v>67</v>
      </c>
      <c r="Y30" s="16">
        <v>2</v>
      </c>
    </row>
    <row r="31" spans="14:25" ht="15" customHeight="1">
      <c r="N31" s="27" t="s">
        <v>62</v>
      </c>
      <c r="O31" s="29">
        <v>40</v>
      </c>
      <c r="X31" s="13" t="s">
        <v>50</v>
      </c>
      <c r="Y31" s="16">
        <v>2</v>
      </c>
    </row>
    <row r="32" spans="14:25" ht="15" customHeight="1">
      <c r="N32" s="27" t="s">
        <v>50</v>
      </c>
      <c r="O32" s="29">
        <v>38</v>
      </c>
      <c r="X32" s="13" t="s">
        <v>46</v>
      </c>
      <c r="Y32" s="16">
        <v>2</v>
      </c>
    </row>
    <row r="33" spans="14:25" ht="15" customHeight="1">
      <c r="N33" s="27" t="s">
        <v>65</v>
      </c>
      <c r="O33" s="29">
        <v>36</v>
      </c>
      <c r="X33" s="13" t="s">
        <v>48</v>
      </c>
      <c r="Y33" s="16">
        <v>2</v>
      </c>
    </row>
    <row r="34" spans="14:25" ht="15" customHeight="1">
      <c r="N34" s="27" t="s">
        <v>44</v>
      </c>
      <c r="O34" s="29">
        <v>36</v>
      </c>
      <c r="X34" s="13" t="s">
        <v>47</v>
      </c>
      <c r="Y34" s="16">
        <v>2</v>
      </c>
    </row>
    <row r="35" spans="14:25" ht="15" customHeight="1">
      <c r="N35" s="27" t="s">
        <v>46</v>
      </c>
      <c r="O35" s="29">
        <v>32</v>
      </c>
      <c r="X35" s="13" t="s">
        <v>27</v>
      </c>
      <c r="Y35" s="16">
        <v>2</v>
      </c>
    </row>
    <row r="36" spans="14:25" ht="15" customHeight="1">
      <c r="N36" s="27" t="s">
        <v>58</v>
      </c>
      <c r="O36" s="29">
        <v>31.5</v>
      </c>
      <c r="X36" s="13" t="s">
        <v>52</v>
      </c>
      <c r="Y36" s="16">
        <v>2</v>
      </c>
    </row>
    <row r="37" spans="14:25" ht="15" customHeight="1">
      <c r="N37" s="27" t="s">
        <v>37</v>
      </c>
      <c r="O37" s="29">
        <v>30</v>
      </c>
      <c r="X37" s="13" t="s">
        <v>44</v>
      </c>
      <c r="Y37" s="16">
        <v>2</v>
      </c>
    </row>
    <row r="38" spans="14:25" ht="15" customHeight="1">
      <c r="N38" s="27" t="s">
        <v>38</v>
      </c>
      <c r="O38" s="29">
        <v>28</v>
      </c>
      <c r="X38" s="13" t="s">
        <v>55</v>
      </c>
      <c r="Y38" s="16">
        <v>2</v>
      </c>
    </row>
    <row r="39" spans="14:25" ht="15" customHeight="1">
      <c r="N39" s="27" t="s">
        <v>52</v>
      </c>
      <c r="O39" s="29">
        <v>26</v>
      </c>
      <c r="X39" s="13" t="s">
        <v>41</v>
      </c>
      <c r="Y39" s="16">
        <v>2</v>
      </c>
    </row>
    <row r="40" spans="14:25" ht="15" customHeight="1">
      <c r="N40" s="27" t="s">
        <v>54</v>
      </c>
      <c r="O40" s="29">
        <v>24</v>
      </c>
      <c r="X40" s="13" t="s">
        <v>60</v>
      </c>
      <c r="Y40" s="16">
        <v>2</v>
      </c>
    </row>
    <row r="41" spans="14:25" ht="15" customHeight="1">
      <c r="N41" s="27" t="s">
        <v>45</v>
      </c>
      <c r="O41" s="29">
        <v>21</v>
      </c>
      <c r="X41" s="13" t="s">
        <v>37</v>
      </c>
      <c r="Y41" s="16">
        <v>2</v>
      </c>
    </row>
    <row r="42" spans="14:25" ht="15" customHeight="1">
      <c r="N42" s="27" t="s">
        <v>63</v>
      </c>
      <c r="O42" s="29">
        <v>20</v>
      </c>
      <c r="X42" s="13" t="s">
        <v>57</v>
      </c>
      <c r="Y42" s="16">
        <v>1</v>
      </c>
    </row>
    <row r="43" spans="14:25" ht="15" customHeight="1">
      <c r="N43" s="27" t="s">
        <v>59</v>
      </c>
      <c r="O43" s="29">
        <v>18.900000000000006</v>
      </c>
      <c r="X43" s="13" t="s">
        <v>65</v>
      </c>
      <c r="Y43" s="16">
        <v>1</v>
      </c>
    </row>
    <row r="44" spans="14:25" ht="15" customHeight="1">
      <c r="N44" s="27" t="s">
        <v>67</v>
      </c>
      <c r="O44" s="29">
        <v>18</v>
      </c>
      <c r="X44" s="13" t="s">
        <v>64</v>
      </c>
      <c r="Y44" s="16">
        <v>1</v>
      </c>
    </row>
    <row r="45" spans="14:25" ht="15" customHeight="1">
      <c r="N45" s="27" t="s">
        <v>39</v>
      </c>
      <c r="O45" s="29">
        <v>14</v>
      </c>
      <c r="X45" s="13" t="s">
        <v>63</v>
      </c>
      <c r="Y45" s="16">
        <v>1</v>
      </c>
    </row>
    <row r="46" spans="14:25" ht="15" customHeight="1">
      <c r="N46" s="27" t="s">
        <v>69</v>
      </c>
      <c r="O46" s="29">
        <v>13.5</v>
      </c>
      <c r="X46" s="13" t="s">
        <v>31</v>
      </c>
      <c r="Y46" s="16">
        <v>1</v>
      </c>
    </row>
    <row r="47" spans="14:25" ht="15" customHeight="1">
      <c r="N47" s="27" t="s">
        <v>33</v>
      </c>
      <c r="O47" s="29">
        <v>12</v>
      </c>
      <c r="X47" s="13" t="s">
        <v>26</v>
      </c>
      <c r="Y47" s="16">
        <v>1</v>
      </c>
    </row>
    <row r="48" spans="14:25" ht="15" customHeight="1">
      <c r="N48" s="27" t="s">
        <v>68</v>
      </c>
      <c r="O48" s="29">
        <v>10.8</v>
      </c>
      <c r="X48" s="13" t="s">
        <v>62</v>
      </c>
      <c r="Y48" s="16">
        <v>1</v>
      </c>
    </row>
    <row r="49" spans="14:25" ht="15" customHeight="1">
      <c r="N49" s="27" t="s">
        <v>30</v>
      </c>
      <c r="O49" s="29">
        <v>7.2000000000000028</v>
      </c>
      <c r="X49" s="13" t="s">
        <v>66</v>
      </c>
      <c r="Y49" s="16">
        <v>1</v>
      </c>
    </row>
    <row r="50" spans="14:25" ht="15" customHeight="1">
      <c r="N50" s="27" t="s">
        <v>181</v>
      </c>
      <c r="O50" s="25">
        <v>3640.4</v>
      </c>
      <c r="X50" s="13" t="s">
        <v>181</v>
      </c>
      <c r="Y50" s="16">
        <v>216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5EE55-682B-4DB3-9E3A-02784C677D9F}">
  <dimension ref="E2:Z55"/>
  <sheetViews>
    <sheetView workbookViewId="0">
      <selection activeCell="Q10" sqref="Q10"/>
    </sheetView>
  </sheetViews>
  <sheetFormatPr defaultRowHeight="15"/>
  <cols>
    <col min="5" max="5" width="11.7109375" bestFit="1" customWidth="1"/>
    <col min="6" max="6" width="11.140625" bestFit="1" customWidth="1"/>
    <col min="14" max="14" width="20" bestFit="1" customWidth="1"/>
    <col min="15" max="15" width="11.140625" bestFit="1" customWidth="1"/>
    <col min="25" max="25" width="20" bestFit="1" customWidth="1"/>
    <col min="26" max="26" width="10.85546875" bestFit="1" customWidth="1"/>
  </cols>
  <sheetData>
    <row r="2" spans="5:26">
      <c r="E2" s="12" t="s">
        <v>24</v>
      </c>
      <c r="F2" s="13" t="s">
        <v>182</v>
      </c>
      <c r="N2" s="12" t="s">
        <v>24</v>
      </c>
      <c r="O2" s="13" t="s">
        <v>182</v>
      </c>
      <c r="Y2" s="12" t="s">
        <v>24</v>
      </c>
      <c r="Z2" s="13" t="s">
        <v>182</v>
      </c>
    </row>
    <row r="4" spans="5:26">
      <c r="E4" s="12" t="s">
        <v>17</v>
      </c>
      <c r="F4" s="13" t="s">
        <v>178</v>
      </c>
      <c r="N4" s="12" t="s">
        <v>18</v>
      </c>
      <c r="O4" s="13" t="s">
        <v>179</v>
      </c>
      <c r="Y4" s="12" t="s">
        <v>18</v>
      </c>
      <c r="Z4" s="13" t="s">
        <v>180</v>
      </c>
    </row>
    <row r="5" spans="5:26">
      <c r="E5" s="17">
        <v>46244</v>
      </c>
      <c r="F5" s="18">
        <v>326.2</v>
      </c>
      <c r="N5" s="13" t="s">
        <v>83</v>
      </c>
      <c r="O5" s="18">
        <v>270</v>
      </c>
      <c r="Y5" s="13" t="s">
        <v>80</v>
      </c>
      <c r="Z5" s="16">
        <v>39</v>
      </c>
    </row>
    <row r="6" spans="5:26">
      <c r="E6" s="17">
        <v>46245</v>
      </c>
      <c r="F6" s="18">
        <v>327.8</v>
      </c>
      <c r="N6" s="13" t="s">
        <v>34</v>
      </c>
      <c r="O6" s="18">
        <v>200</v>
      </c>
      <c r="Y6" s="13" t="s">
        <v>77</v>
      </c>
      <c r="Z6" s="16">
        <v>23</v>
      </c>
    </row>
    <row r="7" spans="5:26">
      <c r="E7" s="17">
        <v>46246</v>
      </c>
      <c r="F7" s="18">
        <v>607.79999999999995</v>
      </c>
      <c r="N7" s="13" t="s">
        <v>25</v>
      </c>
      <c r="O7" s="18">
        <v>165</v>
      </c>
      <c r="Y7" s="13" t="s">
        <v>85</v>
      </c>
      <c r="Z7" s="16">
        <v>20</v>
      </c>
    </row>
    <row r="8" spans="5:26">
      <c r="E8" s="17">
        <v>46247</v>
      </c>
      <c r="F8" s="18">
        <v>421.00000000000006</v>
      </c>
      <c r="N8" s="13" t="s">
        <v>103</v>
      </c>
      <c r="O8" s="18">
        <v>160</v>
      </c>
      <c r="Y8" s="13" t="s">
        <v>84</v>
      </c>
      <c r="Z8" s="16">
        <v>16</v>
      </c>
    </row>
    <row r="9" spans="5:26">
      <c r="E9" s="17">
        <v>46248</v>
      </c>
      <c r="F9" s="18">
        <v>450.3</v>
      </c>
      <c r="N9" s="13" t="s">
        <v>76</v>
      </c>
      <c r="O9" s="18">
        <v>158.00000000000006</v>
      </c>
      <c r="Y9" s="13" t="s">
        <v>59</v>
      </c>
      <c r="Z9" s="16">
        <v>12</v>
      </c>
    </row>
    <row r="10" spans="5:26">
      <c r="E10" s="17">
        <v>46249</v>
      </c>
      <c r="F10" s="18">
        <v>457.5</v>
      </c>
      <c r="N10" s="13" t="s">
        <v>27</v>
      </c>
      <c r="O10" s="18">
        <v>149</v>
      </c>
      <c r="Y10" s="13" t="s">
        <v>76</v>
      </c>
      <c r="Z10" s="16">
        <v>10</v>
      </c>
    </row>
    <row r="11" spans="5:26">
      <c r="E11" s="17">
        <v>46250</v>
      </c>
      <c r="F11" s="18">
        <v>492.8</v>
      </c>
      <c r="N11" s="13" t="s">
        <v>97</v>
      </c>
      <c r="O11" s="18">
        <v>120</v>
      </c>
      <c r="Y11" s="13" t="s">
        <v>25</v>
      </c>
      <c r="Z11" s="16">
        <v>7</v>
      </c>
    </row>
    <row r="12" spans="5:26">
      <c r="E12" s="13" t="s">
        <v>181</v>
      </c>
      <c r="F12" s="18">
        <v>3083.4</v>
      </c>
      <c r="N12" s="13" t="s">
        <v>58</v>
      </c>
      <c r="O12" s="18">
        <v>94.5</v>
      </c>
      <c r="Y12" s="13" t="s">
        <v>58</v>
      </c>
      <c r="Z12" s="16">
        <v>7</v>
      </c>
    </row>
    <row r="13" spans="5:26">
      <c r="N13" s="13" t="s">
        <v>32</v>
      </c>
      <c r="O13" s="18">
        <v>90</v>
      </c>
      <c r="Y13" s="13" t="s">
        <v>34</v>
      </c>
      <c r="Z13" s="16">
        <v>6</v>
      </c>
    </row>
    <row r="14" spans="5:26">
      <c r="N14" s="13" t="s">
        <v>87</v>
      </c>
      <c r="O14" s="18">
        <v>82</v>
      </c>
      <c r="Y14" s="13" t="s">
        <v>43</v>
      </c>
      <c r="Z14" s="16">
        <v>6</v>
      </c>
    </row>
    <row r="15" spans="5:26">
      <c r="N15" s="13" t="s">
        <v>80</v>
      </c>
      <c r="O15" s="18">
        <v>81.599999999999994</v>
      </c>
      <c r="Y15" s="13" t="s">
        <v>53</v>
      </c>
      <c r="Z15" s="16">
        <v>6</v>
      </c>
    </row>
    <row r="16" spans="5:26">
      <c r="N16" s="13" t="s">
        <v>79</v>
      </c>
      <c r="O16" s="18">
        <v>80</v>
      </c>
      <c r="Y16" s="13" t="s">
        <v>74</v>
      </c>
      <c r="Z16" s="16">
        <v>6</v>
      </c>
    </row>
    <row r="17" spans="14:26">
      <c r="N17" s="13" t="s">
        <v>81</v>
      </c>
      <c r="O17" s="18">
        <v>75</v>
      </c>
      <c r="Y17" s="13" t="s">
        <v>105</v>
      </c>
      <c r="Z17" s="16">
        <v>5</v>
      </c>
    </row>
    <row r="18" spans="14:26">
      <c r="N18" s="13" t="s">
        <v>40</v>
      </c>
      <c r="O18" s="18">
        <v>74</v>
      </c>
      <c r="Y18" s="13" t="s">
        <v>32</v>
      </c>
      <c r="Z18" s="16">
        <v>5</v>
      </c>
    </row>
    <row r="19" spans="14:26">
      <c r="N19" s="13" t="s">
        <v>96</v>
      </c>
      <c r="O19" s="18">
        <v>74</v>
      </c>
      <c r="Y19" s="13" t="s">
        <v>54</v>
      </c>
      <c r="Z19" s="16">
        <v>4</v>
      </c>
    </row>
    <row r="20" spans="14:26">
      <c r="N20" s="13" t="s">
        <v>70</v>
      </c>
      <c r="O20" s="18">
        <v>70</v>
      </c>
      <c r="Y20" s="13" t="s">
        <v>27</v>
      </c>
      <c r="Z20" s="16">
        <v>4</v>
      </c>
    </row>
    <row r="21" spans="14:26">
      <c r="N21" s="13" t="s">
        <v>82</v>
      </c>
      <c r="O21" s="18">
        <v>70</v>
      </c>
      <c r="Y21" s="13" t="s">
        <v>88</v>
      </c>
      <c r="Z21" s="16">
        <v>4</v>
      </c>
    </row>
    <row r="22" spans="14:26">
      <c r="N22" s="13" t="s">
        <v>86</v>
      </c>
      <c r="O22" s="18">
        <v>70</v>
      </c>
      <c r="Y22" s="13" t="s">
        <v>91</v>
      </c>
      <c r="Z22" s="16">
        <v>3</v>
      </c>
    </row>
    <row r="23" spans="14:26">
      <c r="N23" s="13" t="s">
        <v>43</v>
      </c>
      <c r="O23" s="18">
        <v>66</v>
      </c>
      <c r="Y23" s="13" t="s">
        <v>36</v>
      </c>
      <c r="Z23" s="16">
        <v>3</v>
      </c>
    </row>
    <row r="24" spans="14:26">
      <c r="N24" s="13" t="s">
        <v>59</v>
      </c>
      <c r="O24" s="18">
        <v>64.800000000000011</v>
      </c>
      <c r="Y24" s="13" t="s">
        <v>104</v>
      </c>
      <c r="Z24" s="16">
        <v>3</v>
      </c>
    </row>
    <row r="25" spans="14:26">
      <c r="N25" s="13" t="s">
        <v>91</v>
      </c>
      <c r="O25" s="18">
        <v>62</v>
      </c>
      <c r="Y25" s="13" t="s">
        <v>83</v>
      </c>
      <c r="Z25" s="16">
        <v>3</v>
      </c>
    </row>
    <row r="26" spans="14:26">
      <c r="N26" s="13" t="s">
        <v>85</v>
      </c>
      <c r="O26" s="18">
        <v>60</v>
      </c>
      <c r="Y26" s="13" t="s">
        <v>81</v>
      </c>
      <c r="Z26" s="16">
        <v>3</v>
      </c>
    </row>
    <row r="27" spans="14:26">
      <c r="N27" s="13" t="s">
        <v>41</v>
      </c>
      <c r="O27" s="18">
        <v>56</v>
      </c>
      <c r="Y27" s="13" t="s">
        <v>94</v>
      </c>
      <c r="Z27" s="16">
        <v>2</v>
      </c>
    </row>
    <row r="28" spans="14:26">
      <c r="N28" s="13" t="s">
        <v>77</v>
      </c>
      <c r="O28" s="18">
        <v>50</v>
      </c>
      <c r="Y28" s="13" t="s">
        <v>100</v>
      </c>
      <c r="Z28" s="16">
        <v>2</v>
      </c>
    </row>
    <row r="29" spans="14:26">
      <c r="N29" s="13" t="s">
        <v>98</v>
      </c>
      <c r="O29" s="18">
        <v>45</v>
      </c>
      <c r="Y29" s="13" t="s">
        <v>95</v>
      </c>
      <c r="Z29" s="16">
        <v>2</v>
      </c>
    </row>
    <row r="30" spans="14:26">
      <c r="N30" s="13" t="s">
        <v>101</v>
      </c>
      <c r="O30" s="18">
        <v>42</v>
      </c>
      <c r="Y30" s="13" t="s">
        <v>71</v>
      </c>
      <c r="Z30" s="16">
        <v>2</v>
      </c>
    </row>
    <row r="31" spans="14:26">
      <c r="N31" s="13" t="s">
        <v>53</v>
      </c>
      <c r="O31" s="18">
        <v>39</v>
      </c>
      <c r="Y31" s="13" t="s">
        <v>90</v>
      </c>
      <c r="Z31" s="16">
        <v>2</v>
      </c>
    </row>
    <row r="32" spans="14:26">
      <c r="N32" s="13" t="s">
        <v>100</v>
      </c>
      <c r="O32" s="18">
        <v>39</v>
      </c>
      <c r="Y32" s="13" t="s">
        <v>78</v>
      </c>
      <c r="Z32" s="16">
        <v>2</v>
      </c>
    </row>
    <row r="33" spans="14:26">
      <c r="N33" s="13" t="s">
        <v>73</v>
      </c>
      <c r="O33" s="18">
        <v>36</v>
      </c>
      <c r="Y33" s="13" t="s">
        <v>93</v>
      </c>
      <c r="Z33" s="16">
        <v>2</v>
      </c>
    </row>
    <row r="34" spans="14:26">
      <c r="N34" s="13" t="s">
        <v>95</v>
      </c>
      <c r="O34" s="18">
        <v>36</v>
      </c>
      <c r="Y34" s="13" t="s">
        <v>87</v>
      </c>
      <c r="Z34" s="16">
        <v>2</v>
      </c>
    </row>
    <row r="35" spans="14:26">
      <c r="N35" s="13" t="s">
        <v>93</v>
      </c>
      <c r="O35" s="18">
        <v>34</v>
      </c>
      <c r="Y35" s="13" t="s">
        <v>79</v>
      </c>
      <c r="Z35" s="16">
        <v>2</v>
      </c>
    </row>
    <row r="36" spans="14:26">
      <c r="N36" s="13" t="s">
        <v>36</v>
      </c>
      <c r="O36" s="18">
        <v>33</v>
      </c>
      <c r="Y36" s="13" t="s">
        <v>41</v>
      </c>
      <c r="Z36" s="16">
        <v>2</v>
      </c>
    </row>
    <row r="37" spans="14:26">
      <c r="N37" s="13" t="s">
        <v>88</v>
      </c>
      <c r="O37" s="18">
        <v>32</v>
      </c>
      <c r="Y37" s="13" t="s">
        <v>89</v>
      </c>
      <c r="Z37" s="16">
        <v>2</v>
      </c>
    </row>
    <row r="38" spans="14:26">
      <c r="N38" s="13" t="s">
        <v>99</v>
      </c>
      <c r="O38" s="18">
        <v>28</v>
      </c>
      <c r="Y38" s="13" t="s">
        <v>102</v>
      </c>
      <c r="Z38" s="16">
        <v>2</v>
      </c>
    </row>
    <row r="39" spans="14:26">
      <c r="N39" s="13" t="s">
        <v>37</v>
      </c>
      <c r="O39" s="18">
        <v>26</v>
      </c>
      <c r="Y39" s="13" t="s">
        <v>86</v>
      </c>
      <c r="Z39" s="16">
        <v>2</v>
      </c>
    </row>
    <row r="40" spans="14:26">
      <c r="N40" s="13" t="s">
        <v>94</v>
      </c>
      <c r="O40" s="18">
        <v>25</v>
      </c>
      <c r="Y40" s="13" t="s">
        <v>96</v>
      </c>
      <c r="Z40" s="16">
        <v>2</v>
      </c>
    </row>
    <row r="41" spans="14:26">
      <c r="N41" s="13" t="s">
        <v>71</v>
      </c>
      <c r="O41" s="18">
        <v>23</v>
      </c>
      <c r="Y41" s="13" t="s">
        <v>103</v>
      </c>
      <c r="Z41" s="16">
        <v>1</v>
      </c>
    </row>
    <row r="42" spans="14:26">
      <c r="N42" s="13" t="s">
        <v>105</v>
      </c>
      <c r="O42" s="18">
        <v>20</v>
      </c>
      <c r="Y42" s="13" t="s">
        <v>40</v>
      </c>
      <c r="Z42" s="16">
        <v>1</v>
      </c>
    </row>
    <row r="43" spans="14:26">
      <c r="N43" s="13" t="s">
        <v>78</v>
      </c>
      <c r="O43" s="18">
        <v>20</v>
      </c>
      <c r="Y43" s="13" t="s">
        <v>82</v>
      </c>
      <c r="Z43" s="16">
        <v>1</v>
      </c>
    </row>
    <row r="44" spans="14:26">
      <c r="N44" s="13" t="s">
        <v>75</v>
      </c>
      <c r="O44" s="18">
        <v>19</v>
      </c>
      <c r="Y44" s="13" t="s">
        <v>33</v>
      </c>
      <c r="Z44" s="16">
        <v>1</v>
      </c>
    </row>
    <row r="45" spans="14:26">
      <c r="N45" s="13" t="s">
        <v>92</v>
      </c>
      <c r="O45" s="18">
        <v>18</v>
      </c>
      <c r="Y45" s="13" t="s">
        <v>37</v>
      </c>
      <c r="Z45" s="16">
        <v>1</v>
      </c>
    </row>
    <row r="46" spans="14:26">
      <c r="N46" s="13" t="s">
        <v>90</v>
      </c>
      <c r="O46" s="18">
        <v>17</v>
      </c>
      <c r="Y46" s="13" t="s">
        <v>73</v>
      </c>
      <c r="Z46" s="16">
        <v>1</v>
      </c>
    </row>
    <row r="47" spans="14:26">
      <c r="N47" s="13" t="s">
        <v>102</v>
      </c>
      <c r="O47" s="18">
        <v>16.200000000000003</v>
      </c>
      <c r="Y47" s="13" t="s">
        <v>70</v>
      </c>
      <c r="Z47" s="16">
        <v>1</v>
      </c>
    </row>
    <row r="48" spans="14:26">
      <c r="N48" s="13" t="s">
        <v>74</v>
      </c>
      <c r="O48" s="18">
        <v>16.200000000000003</v>
      </c>
      <c r="Y48" s="13" t="s">
        <v>75</v>
      </c>
      <c r="Z48" s="16">
        <v>1</v>
      </c>
    </row>
    <row r="49" spans="14:26">
      <c r="N49" s="13" t="s">
        <v>104</v>
      </c>
      <c r="O49" s="18">
        <v>15.599999999999998</v>
      </c>
      <c r="Y49" s="13" t="s">
        <v>99</v>
      </c>
      <c r="Z49" s="16">
        <v>1</v>
      </c>
    </row>
    <row r="50" spans="14:26">
      <c r="N50" s="13" t="s">
        <v>84</v>
      </c>
      <c r="O50" s="18">
        <v>14.000000000000007</v>
      </c>
      <c r="Y50" s="13" t="s">
        <v>97</v>
      </c>
      <c r="Z50" s="16">
        <v>1</v>
      </c>
    </row>
    <row r="51" spans="14:26">
      <c r="N51" s="13" t="s">
        <v>89</v>
      </c>
      <c r="O51" s="18">
        <v>14</v>
      </c>
      <c r="Y51" s="13" t="s">
        <v>101</v>
      </c>
      <c r="Z51" s="16">
        <v>1</v>
      </c>
    </row>
    <row r="52" spans="14:26">
      <c r="N52" s="13" t="s">
        <v>33</v>
      </c>
      <c r="O52" s="18">
        <v>12.5</v>
      </c>
      <c r="Y52" s="13" t="s">
        <v>92</v>
      </c>
      <c r="Z52" s="16">
        <v>1</v>
      </c>
    </row>
    <row r="53" spans="14:26">
      <c r="N53" s="13" t="s">
        <v>54</v>
      </c>
      <c r="O53" s="18">
        <v>12</v>
      </c>
      <c r="Y53" s="13" t="s">
        <v>72</v>
      </c>
      <c r="Z53" s="16">
        <v>1</v>
      </c>
    </row>
    <row r="54" spans="14:26">
      <c r="N54" s="13" t="s">
        <v>72</v>
      </c>
      <c r="O54" s="18">
        <v>9</v>
      </c>
      <c r="Y54" s="13" t="s">
        <v>98</v>
      </c>
      <c r="Z54" s="16">
        <v>1</v>
      </c>
    </row>
    <row r="55" spans="14:26">
      <c r="N55" s="13" t="s">
        <v>181</v>
      </c>
      <c r="O55" s="18">
        <v>3083.3999999999996</v>
      </c>
      <c r="Y55" s="13" t="s">
        <v>181</v>
      </c>
      <c r="Z55" s="16">
        <v>237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A182-B5D6-4A72-B1D3-2B69F3CF3514}">
  <dimension ref="B2:C125"/>
  <sheetViews>
    <sheetView workbookViewId="0">
      <selection activeCell="B2" sqref="B2"/>
    </sheetView>
  </sheetViews>
  <sheetFormatPr defaultRowHeight="15"/>
  <cols>
    <col min="2" max="2" width="20" bestFit="1" customWidth="1"/>
    <col min="3" max="3" width="15.85546875" bestFit="1" customWidth="1"/>
  </cols>
  <sheetData>
    <row r="2" spans="2:3">
      <c r="B2" s="12" t="s">
        <v>24</v>
      </c>
      <c r="C2" s="13" t="s">
        <v>183</v>
      </c>
    </row>
    <row r="3" spans="2:3">
      <c r="B3" s="4"/>
      <c r="C3" s="4"/>
    </row>
    <row r="4" spans="2:3">
      <c r="B4" s="12" t="s">
        <v>17</v>
      </c>
      <c r="C4" s="13" t="s">
        <v>178</v>
      </c>
    </row>
    <row r="5" spans="2:3">
      <c r="B5" s="17">
        <v>46251</v>
      </c>
      <c r="C5" s="18">
        <v>552.5</v>
      </c>
    </row>
    <row r="6" spans="2:3">
      <c r="B6" s="17">
        <v>46252</v>
      </c>
      <c r="C6" s="18">
        <v>494</v>
      </c>
    </row>
    <row r="7" spans="2:3">
      <c r="B7" s="17">
        <v>46253</v>
      </c>
      <c r="C7" s="18">
        <v>377.5</v>
      </c>
    </row>
    <row r="8" spans="2:3">
      <c r="B8" s="17">
        <v>46254</v>
      </c>
      <c r="C8" s="18">
        <v>855</v>
      </c>
    </row>
    <row r="9" spans="2:3">
      <c r="B9" s="17">
        <v>46255</v>
      </c>
      <c r="C9" s="18">
        <v>452.4</v>
      </c>
    </row>
    <row r="10" spans="2:3">
      <c r="B10" s="17">
        <v>46256</v>
      </c>
      <c r="C10" s="18">
        <v>903</v>
      </c>
    </row>
    <row r="11" spans="2:3">
      <c r="B11" s="17">
        <v>46257</v>
      </c>
      <c r="C11" s="18">
        <v>415</v>
      </c>
    </row>
    <row r="12" spans="2:3">
      <c r="B12" s="17" t="s">
        <v>181</v>
      </c>
      <c r="C12" s="18">
        <v>4049.4</v>
      </c>
    </row>
    <row r="22" spans="2:3">
      <c r="B22" s="12" t="s">
        <v>24</v>
      </c>
      <c r="C22" s="13" t="s">
        <v>183</v>
      </c>
    </row>
    <row r="24" spans="2:3">
      <c r="B24" s="12" t="s">
        <v>18</v>
      </c>
      <c r="C24" s="13" t="s">
        <v>179</v>
      </c>
    </row>
    <row r="25" spans="2:3">
      <c r="B25" s="13" t="s">
        <v>120</v>
      </c>
      <c r="C25" s="18">
        <v>270</v>
      </c>
    </row>
    <row r="26" spans="2:3">
      <c r="B26" s="13" t="s">
        <v>113</v>
      </c>
      <c r="C26" s="18">
        <v>255</v>
      </c>
    </row>
    <row r="27" spans="2:3">
      <c r="B27" s="13" t="s">
        <v>49</v>
      </c>
      <c r="C27" s="18">
        <v>250</v>
      </c>
    </row>
    <row r="28" spans="2:3">
      <c r="B28" s="13" t="s">
        <v>32</v>
      </c>
      <c r="C28" s="18">
        <v>220</v>
      </c>
    </row>
    <row r="29" spans="2:3">
      <c r="B29" s="13" t="s">
        <v>76</v>
      </c>
      <c r="C29" s="18">
        <v>220</v>
      </c>
    </row>
    <row r="30" spans="2:3">
      <c r="B30" s="13" t="s">
        <v>121</v>
      </c>
      <c r="C30" s="18">
        <v>210</v>
      </c>
    </row>
    <row r="31" spans="2:3">
      <c r="B31" s="13" t="s">
        <v>34</v>
      </c>
      <c r="C31" s="18">
        <v>208</v>
      </c>
    </row>
    <row r="32" spans="2:3">
      <c r="B32" s="13" t="s">
        <v>109</v>
      </c>
      <c r="C32" s="18">
        <v>200</v>
      </c>
    </row>
    <row r="33" spans="2:3">
      <c r="B33" s="13" t="s">
        <v>114</v>
      </c>
      <c r="C33" s="18">
        <v>170</v>
      </c>
    </row>
    <row r="34" spans="2:3">
      <c r="B34" s="13" t="s">
        <v>41</v>
      </c>
      <c r="C34" s="18">
        <v>168</v>
      </c>
    </row>
    <row r="35" spans="2:3">
      <c r="B35" s="13" t="s">
        <v>36</v>
      </c>
      <c r="C35" s="18">
        <v>168</v>
      </c>
    </row>
    <row r="36" spans="2:3">
      <c r="B36" s="13" t="s">
        <v>97</v>
      </c>
      <c r="C36" s="18">
        <v>150</v>
      </c>
    </row>
    <row r="37" spans="2:3">
      <c r="B37" s="13" t="s">
        <v>116</v>
      </c>
      <c r="C37" s="18">
        <v>130</v>
      </c>
    </row>
    <row r="38" spans="2:3">
      <c r="B38" s="13" t="s">
        <v>115</v>
      </c>
      <c r="C38" s="18">
        <v>130</v>
      </c>
    </row>
    <row r="39" spans="2:3">
      <c r="B39" s="13" t="s">
        <v>57</v>
      </c>
      <c r="C39" s="18">
        <v>128</v>
      </c>
    </row>
    <row r="40" spans="2:3">
      <c r="B40" s="13" t="s">
        <v>110</v>
      </c>
      <c r="C40" s="18">
        <v>107</v>
      </c>
    </row>
    <row r="41" spans="2:3">
      <c r="B41" s="13" t="s">
        <v>71</v>
      </c>
      <c r="C41" s="18">
        <v>93</v>
      </c>
    </row>
    <row r="42" spans="2:3">
      <c r="B42" s="13" t="s">
        <v>79</v>
      </c>
      <c r="C42" s="18">
        <v>85</v>
      </c>
    </row>
    <row r="43" spans="2:3">
      <c r="B43" s="13" t="s">
        <v>119</v>
      </c>
      <c r="C43" s="18">
        <v>84</v>
      </c>
    </row>
    <row r="44" spans="2:3">
      <c r="B44" s="13" t="s">
        <v>51</v>
      </c>
      <c r="C44" s="18">
        <v>72</v>
      </c>
    </row>
    <row r="45" spans="2:3">
      <c r="B45" s="13" t="s">
        <v>118</v>
      </c>
      <c r="C45" s="18">
        <v>63</v>
      </c>
    </row>
    <row r="46" spans="2:3">
      <c r="B46" s="13" t="s">
        <v>122</v>
      </c>
      <c r="C46" s="18">
        <v>60</v>
      </c>
    </row>
    <row r="47" spans="2:3">
      <c r="B47" s="13" t="s">
        <v>95</v>
      </c>
      <c r="C47" s="18">
        <v>48</v>
      </c>
    </row>
    <row r="48" spans="2:3">
      <c r="B48" s="13" t="s">
        <v>117</v>
      </c>
      <c r="C48" s="18">
        <v>48</v>
      </c>
    </row>
    <row r="49" spans="2:3">
      <c r="B49" s="13" t="s">
        <v>98</v>
      </c>
      <c r="C49" s="18">
        <v>45</v>
      </c>
    </row>
    <row r="50" spans="2:3">
      <c r="B50" s="13" t="s">
        <v>106</v>
      </c>
      <c r="C50" s="18">
        <v>42</v>
      </c>
    </row>
    <row r="51" spans="2:3">
      <c r="B51" s="13" t="s">
        <v>84</v>
      </c>
      <c r="C51" s="18">
        <v>40</v>
      </c>
    </row>
    <row r="52" spans="2:3">
      <c r="B52" s="13" t="s">
        <v>107</v>
      </c>
      <c r="C52" s="18">
        <v>38</v>
      </c>
    </row>
    <row r="53" spans="2:3">
      <c r="B53" s="13" t="s">
        <v>35</v>
      </c>
      <c r="C53" s="18">
        <v>36</v>
      </c>
    </row>
    <row r="54" spans="2:3">
      <c r="B54" s="13" t="s">
        <v>45</v>
      </c>
      <c r="C54" s="18">
        <v>35</v>
      </c>
    </row>
    <row r="55" spans="2:3">
      <c r="B55" s="13" t="s">
        <v>88</v>
      </c>
      <c r="C55" s="18">
        <v>33</v>
      </c>
    </row>
    <row r="56" spans="2:3">
      <c r="B56" s="13" t="s">
        <v>86</v>
      </c>
      <c r="C56" s="18">
        <v>30</v>
      </c>
    </row>
    <row r="57" spans="2:3">
      <c r="B57" s="13" t="s">
        <v>99</v>
      </c>
      <c r="C57" s="18">
        <v>28</v>
      </c>
    </row>
    <row r="58" spans="2:3">
      <c r="B58" s="13" t="s">
        <v>96</v>
      </c>
      <c r="C58" s="18">
        <v>28</v>
      </c>
    </row>
    <row r="59" spans="2:3">
      <c r="B59" s="13" t="s">
        <v>77</v>
      </c>
      <c r="C59" s="18">
        <v>25</v>
      </c>
    </row>
    <row r="60" spans="2:3">
      <c r="B60" s="13" t="s">
        <v>112</v>
      </c>
      <c r="C60" s="18">
        <v>24</v>
      </c>
    </row>
    <row r="61" spans="2:3">
      <c r="B61" s="13" t="s">
        <v>111</v>
      </c>
      <c r="C61" s="18">
        <v>22</v>
      </c>
    </row>
    <row r="62" spans="2:3">
      <c r="B62" s="13" t="s">
        <v>47</v>
      </c>
      <c r="C62" s="18">
        <v>18</v>
      </c>
    </row>
    <row r="63" spans="2:3">
      <c r="B63" s="13" t="s">
        <v>50</v>
      </c>
      <c r="C63" s="18">
        <v>18</v>
      </c>
    </row>
    <row r="64" spans="2:3">
      <c r="B64" s="13" t="s">
        <v>123</v>
      </c>
      <c r="C64" s="18">
        <v>15</v>
      </c>
    </row>
    <row r="65" spans="2:3">
      <c r="B65" s="13" t="s">
        <v>38</v>
      </c>
      <c r="C65" s="18">
        <v>14</v>
      </c>
    </row>
    <row r="66" spans="2:3">
      <c r="B66" s="13" t="s">
        <v>108</v>
      </c>
      <c r="C66" s="18">
        <v>9</v>
      </c>
    </row>
    <row r="67" spans="2:3">
      <c r="B67" s="13" t="s">
        <v>52</v>
      </c>
      <c r="C67" s="18">
        <v>7</v>
      </c>
    </row>
    <row r="68" spans="2:3">
      <c r="B68" s="13" t="s">
        <v>59</v>
      </c>
      <c r="C68" s="18">
        <v>5.4000000000000021</v>
      </c>
    </row>
    <row r="69" spans="2:3">
      <c r="B69" s="13" t="s">
        <v>181</v>
      </c>
      <c r="C69" s="18">
        <v>4049.4</v>
      </c>
    </row>
    <row r="78" spans="2:3">
      <c r="B78" s="12" t="s">
        <v>24</v>
      </c>
      <c r="C78" s="13" t="s">
        <v>183</v>
      </c>
    </row>
    <row r="80" spans="2:3">
      <c r="B80" s="12" t="s">
        <v>18</v>
      </c>
      <c r="C80" s="13" t="s">
        <v>184</v>
      </c>
    </row>
    <row r="81" spans="2:3">
      <c r="B81" s="13" t="s">
        <v>84</v>
      </c>
      <c r="C81" s="16">
        <v>20</v>
      </c>
    </row>
    <row r="82" spans="2:3">
      <c r="B82" s="13" t="s">
        <v>119</v>
      </c>
      <c r="C82" s="16">
        <v>12</v>
      </c>
    </row>
    <row r="83" spans="2:3">
      <c r="B83" s="13" t="s">
        <v>106</v>
      </c>
      <c r="C83" s="16">
        <v>12</v>
      </c>
    </row>
    <row r="84" spans="2:3">
      <c r="B84" s="13" t="s">
        <v>76</v>
      </c>
      <c r="C84" s="16">
        <v>12</v>
      </c>
    </row>
    <row r="85" spans="2:3">
      <c r="B85" s="13" t="s">
        <v>115</v>
      </c>
      <c r="C85" s="16">
        <v>10</v>
      </c>
    </row>
    <row r="86" spans="2:3">
      <c r="B86" s="13" t="s">
        <v>45</v>
      </c>
      <c r="C86" s="16">
        <v>10</v>
      </c>
    </row>
    <row r="87" spans="2:3">
      <c r="B87" s="13" t="s">
        <v>32</v>
      </c>
      <c r="C87" s="16">
        <v>10</v>
      </c>
    </row>
    <row r="88" spans="2:3">
      <c r="B88" s="13" t="s">
        <v>77</v>
      </c>
      <c r="C88" s="16">
        <v>10</v>
      </c>
    </row>
    <row r="89" spans="2:3">
      <c r="B89" s="13" t="s">
        <v>36</v>
      </c>
      <c r="C89" s="16">
        <v>8</v>
      </c>
    </row>
    <row r="90" spans="2:3">
      <c r="B90" s="13" t="s">
        <v>34</v>
      </c>
      <c r="C90" s="16">
        <v>8</v>
      </c>
    </row>
    <row r="91" spans="2:3">
      <c r="B91" s="13" t="s">
        <v>41</v>
      </c>
      <c r="C91" s="16">
        <v>6</v>
      </c>
    </row>
    <row r="92" spans="2:3">
      <c r="B92" s="13" t="s">
        <v>59</v>
      </c>
      <c r="C92" s="16">
        <v>6</v>
      </c>
    </row>
    <row r="93" spans="2:3">
      <c r="B93" s="13" t="s">
        <v>71</v>
      </c>
      <c r="C93" s="16">
        <v>6</v>
      </c>
    </row>
    <row r="94" spans="2:3">
      <c r="B94" s="13" t="s">
        <v>114</v>
      </c>
      <c r="C94" s="16">
        <v>5</v>
      </c>
    </row>
    <row r="95" spans="2:3">
      <c r="B95" s="13" t="s">
        <v>95</v>
      </c>
      <c r="C95" s="16">
        <v>4</v>
      </c>
    </row>
    <row r="96" spans="2:3">
      <c r="B96" s="13" t="s">
        <v>113</v>
      </c>
      <c r="C96" s="16">
        <v>3</v>
      </c>
    </row>
    <row r="97" spans="2:3">
      <c r="B97" s="13" t="s">
        <v>79</v>
      </c>
      <c r="C97" s="16">
        <v>3</v>
      </c>
    </row>
    <row r="98" spans="2:3">
      <c r="B98" s="13" t="s">
        <v>35</v>
      </c>
      <c r="C98" s="16">
        <v>3</v>
      </c>
    </row>
    <row r="99" spans="2:3">
      <c r="B99" s="13" t="s">
        <v>118</v>
      </c>
      <c r="C99" s="16">
        <v>3</v>
      </c>
    </row>
    <row r="100" spans="2:3">
      <c r="B100" s="13" t="s">
        <v>117</v>
      </c>
      <c r="C100" s="16">
        <v>3</v>
      </c>
    </row>
    <row r="101" spans="2:3">
      <c r="B101" s="13" t="s">
        <v>120</v>
      </c>
      <c r="C101" s="16">
        <v>3</v>
      </c>
    </row>
    <row r="102" spans="2:3">
      <c r="B102" s="13" t="s">
        <v>38</v>
      </c>
      <c r="C102" s="16">
        <v>2</v>
      </c>
    </row>
    <row r="103" spans="2:3">
      <c r="B103" s="13" t="s">
        <v>51</v>
      </c>
      <c r="C103" s="16">
        <v>2</v>
      </c>
    </row>
    <row r="104" spans="2:3">
      <c r="B104" s="13" t="s">
        <v>110</v>
      </c>
      <c r="C104" s="16">
        <v>2</v>
      </c>
    </row>
    <row r="105" spans="2:3">
      <c r="B105" s="13" t="s">
        <v>88</v>
      </c>
      <c r="C105" s="16">
        <v>2</v>
      </c>
    </row>
    <row r="106" spans="2:3">
      <c r="B106" s="13" t="s">
        <v>98</v>
      </c>
      <c r="C106" s="16">
        <v>1</v>
      </c>
    </row>
    <row r="107" spans="2:3">
      <c r="B107" s="13" t="s">
        <v>107</v>
      </c>
      <c r="C107" s="16">
        <v>1</v>
      </c>
    </row>
    <row r="108" spans="2:3">
      <c r="B108" s="13" t="s">
        <v>122</v>
      </c>
      <c r="C108" s="16">
        <v>1</v>
      </c>
    </row>
    <row r="109" spans="2:3">
      <c r="B109" s="13" t="s">
        <v>99</v>
      </c>
      <c r="C109" s="16">
        <v>1</v>
      </c>
    </row>
    <row r="110" spans="2:3">
      <c r="B110" s="13" t="s">
        <v>123</v>
      </c>
      <c r="C110" s="16">
        <v>1</v>
      </c>
    </row>
    <row r="111" spans="2:3">
      <c r="B111" s="13" t="s">
        <v>108</v>
      </c>
      <c r="C111" s="16">
        <v>1</v>
      </c>
    </row>
    <row r="112" spans="2:3">
      <c r="B112" s="13" t="s">
        <v>97</v>
      </c>
      <c r="C112" s="16">
        <v>1</v>
      </c>
    </row>
    <row r="113" spans="2:3">
      <c r="B113" s="13" t="s">
        <v>52</v>
      </c>
      <c r="C113" s="16">
        <v>1</v>
      </c>
    </row>
    <row r="114" spans="2:3">
      <c r="B114" s="13" t="s">
        <v>86</v>
      </c>
      <c r="C114" s="16">
        <v>1</v>
      </c>
    </row>
    <row r="115" spans="2:3">
      <c r="B115" s="13" t="s">
        <v>112</v>
      </c>
      <c r="C115" s="16">
        <v>1</v>
      </c>
    </row>
    <row r="116" spans="2:3">
      <c r="B116" s="13" t="s">
        <v>49</v>
      </c>
      <c r="C116" s="16">
        <v>1</v>
      </c>
    </row>
    <row r="117" spans="2:3">
      <c r="B117" s="13" t="s">
        <v>57</v>
      </c>
      <c r="C117" s="16">
        <v>1</v>
      </c>
    </row>
    <row r="118" spans="2:3">
      <c r="B118" s="13" t="s">
        <v>109</v>
      </c>
      <c r="C118" s="16">
        <v>1</v>
      </c>
    </row>
    <row r="119" spans="2:3">
      <c r="B119" s="13" t="s">
        <v>116</v>
      </c>
      <c r="C119" s="16">
        <v>1</v>
      </c>
    </row>
    <row r="120" spans="2:3">
      <c r="B120" s="13" t="s">
        <v>111</v>
      </c>
      <c r="C120" s="16">
        <v>1</v>
      </c>
    </row>
    <row r="121" spans="2:3">
      <c r="B121" s="13" t="s">
        <v>50</v>
      </c>
      <c r="C121" s="16">
        <v>1</v>
      </c>
    </row>
    <row r="122" spans="2:3">
      <c r="B122" s="13" t="s">
        <v>121</v>
      </c>
      <c r="C122" s="16">
        <v>1</v>
      </c>
    </row>
    <row r="123" spans="2:3">
      <c r="B123" s="13" t="s">
        <v>47</v>
      </c>
      <c r="C123" s="16">
        <v>1</v>
      </c>
    </row>
    <row r="124" spans="2:3">
      <c r="B124" s="13" t="s">
        <v>96</v>
      </c>
      <c r="C124" s="16">
        <v>1</v>
      </c>
    </row>
    <row r="125" spans="2:3">
      <c r="B125" s="13" t="s">
        <v>181</v>
      </c>
      <c r="C125" s="16">
        <v>184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3CF8-4319-4AB9-A599-C9ACDA9669B7}">
  <dimension ref="B2:C138"/>
  <sheetViews>
    <sheetView topLeftCell="A13" workbookViewId="0">
      <selection activeCell="D8" sqref="D8"/>
    </sheetView>
  </sheetViews>
  <sheetFormatPr defaultRowHeight="15"/>
  <cols>
    <col min="2" max="2" width="17.7109375" bestFit="1" customWidth="1"/>
    <col min="3" max="3" width="10.85546875" bestFit="1" customWidth="1"/>
    <col min="4" max="4" width="9.85546875" bestFit="1" customWidth="1"/>
    <col min="5" max="5" width="11.5703125" bestFit="1" customWidth="1"/>
    <col min="6" max="9" width="9.85546875" bestFit="1" customWidth="1"/>
    <col min="10" max="10" width="11.7109375" bestFit="1" customWidth="1"/>
  </cols>
  <sheetData>
    <row r="2" spans="2:3">
      <c r="B2" s="12" t="s">
        <v>24</v>
      </c>
      <c r="C2" s="13" t="s">
        <v>185</v>
      </c>
    </row>
    <row r="4" spans="2:3">
      <c r="B4" s="12" t="s">
        <v>17</v>
      </c>
      <c r="C4" s="13" t="s">
        <v>178</v>
      </c>
    </row>
    <row r="5" spans="2:3">
      <c r="B5" s="17">
        <v>46258</v>
      </c>
      <c r="C5" s="18">
        <v>260.60000000000002</v>
      </c>
    </row>
    <row r="6" spans="2:3">
      <c r="B6" s="17">
        <v>46259</v>
      </c>
      <c r="C6" s="18">
        <v>795.8</v>
      </c>
    </row>
    <row r="7" spans="2:3">
      <c r="B7" s="17">
        <v>46260</v>
      </c>
      <c r="C7" s="18">
        <v>957</v>
      </c>
    </row>
    <row r="8" spans="2:3">
      <c r="B8" s="17">
        <v>46261</v>
      </c>
      <c r="C8" s="18">
        <v>192.5</v>
      </c>
    </row>
    <row r="9" spans="2:3">
      <c r="B9" s="17">
        <v>46262</v>
      </c>
      <c r="C9" s="18">
        <v>394</v>
      </c>
    </row>
    <row r="10" spans="2:3">
      <c r="B10" s="17">
        <v>46263</v>
      </c>
      <c r="C10" s="18">
        <v>936.5</v>
      </c>
    </row>
    <row r="11" spans="2:3">
      <c r="B11" s="17">
        <v>46264</v>
      </c>
      <c r="C11" s="18">
        <v>671.4</v>
      </c>
    </row>
    <row r="12" spans="2:3">
      <c r="B12" s="17" t="s">
        <v>181</v>
      </c>
      <c r="C12" s="18">
        <v>4207.8</v>
      </c>
    </row>
    <row r="23" spans="2:3">
      <c r="B23" s="12" t="s">
        <v>24</v>
      </c>
      <c r="C23" s="13" t="s">
        <v>185</v>
      </c>
    </row>
    <row r="25" spans="2:3">
      <c r="B25" s="12" t="s">
        <v>18</v>
      </c>
      <c r="C25" s="13" t="s">
        <v>179</v>
      </c>
    </row>
    <row r="26" spans="2:3">
      <c r="B26" s="13" t="s">
        <v>130</v>
      </c>
      <c r="C26" s="18">
        <v>450</v>
      </c>
    </row>
    <row r="27" spans="2:3">
      <c r="B27" s="13" t="s">
        <v>76</v>
      </c>
      <c r="C27" s="18">
        <v>377</v>
      </c>
    </row>
    <row r="28" spans="2:3">
      <c r="B28" s="13" t="s">
        <v>103</v>
      </c>
      <c r="C28" s="18">
        <v>274</v>
      </c>
    </row>
    <row r="29" spans="2:3">
      <c r="B29" s="13" t="s">
        <v>25</v>
      </c>
      <c r="C29" s="18">
        <v>255</v>
      </c>
    </row>
    <row r="30" spans="2:3">
      <c r="B30" s="13" t="s">
        <v>93</v>
      </c>
      <c r="C30" s="18">
        <v>200</v>
      </c>
    </row>
    <row r="31" spans="2:3">
      <c r="B31" s="13" t="s">
        <v>100</v>
      </c>
      <c r="C31" s="18">
        <v>194</v>
      </c>
    </row>
    <row r="32" spans="2:3">
      <c r="B32" s="13" t="s">
        <v>124</v>
      </c>
      <c r="C32" s="18">
        <v>190</v>
      </c>
    </row>
    <row r="33" spans="2:3">
      <c r="B33" s="13" t="s">
        <v>138</v>
      </c>
      <c r="C33" s="18">
        <v>186</v>
      </c>
    </row>
    <row r="34" spans="2:3">
      <c r="B34" s="13" t="s">
        <v>41</v>
      </c>
      <c r="C34" s="18">
        <v>168</v>
      </c>
    </row>
    <row r="35" spans="2:3">
      <c r="B35" s="13" t="s">
        <v>34</v>
      </c>
      <c r="C35" s="18">
        <v>141</v>
      </c>
    </row>
    <row r="36" spans="2:3">
      <c r="B36" s="13" t="s">
        <v>140</v>
      </c>
      <c r="C36" s="18">
        <v>138</v>
      </c>
    </row>
    <row r="37" spans="2:3">
      <c r="B37" s="13" t="s">
        <v>53</v>
      </c>
      <c r="C37" s="18">
        <v>128</v>
      </c>
    </row>
    <row r="38" spans="2:3">
      <c r="B38" s="13" t="s">
        <v>36</v>
      </c>
      <c r="C38" s="18">
        <v>126</v>
      </c>
    </row>
    <row r="39" spans="2:3">
      <c r="B39" s="13" t="s">
        <v>85</v>
      </c>
      <c r="C39" s="18">
        <v>110</v>
      </c>
    </row>
    <row r="40" spans="2:3">
      <c r="B40" s="13" t="s">
        <v>139</v>
      </c>
      <c r="C40" s="18">
        <v>100</v>
      </c>
    </row>
    <row r="41" spans="2:3">
      <c r="B41" s="13" t="s">
        <v>131</v>
      </c>
      <c r="C41" s="18">
        <v>84.999999999999972</v>
      </c>
    </row>
    <row r="42" spans="2:3">
      <c r="B42" s="13" t="s">
        <v>37</v>
      </c>
      <c r="C42" s="18">
        <v>78</v>
      </c>
    </row>
    <row r="43" spans="2:3">
      <c r="B43" s="13" t="s">
        <v>32</v>
      </c>
      <c r="C43" s="18">
        <v>72</v>
      </c>
    </row>
    <row r="44" spans="2:3">
      <c r="B44" s="13" t="s">
        <v>142</v>
      </c>
      <c r="C44" s="18">
        <v>72</v>
      </c>
    </row>
    <row r="45" spans="2:3">
      <c r="B45" s="13" t="s">
        <v>94</v>
      </c>
      <c r="C45" s="18">
        <v>72</v>
      </c>
    </row>
    <row r="46" spans="2:3">
      <c r="B46" s="13" t="s">
        <v>107</v>
      </c>
      <c r="C46" s="18">
        <v>72</v>
      </c>
    </row>
    <row r="47" spans="2:3">
      <c r="B47" s="13" t="s">
        <v>133</v>
      </c>
      <c r="C47" s="18">
        <v>64</v>
      </c>
    </row>
    <row r="48" spans="2:3">
      <c r="B48" s="13" t="s">
        <v>59</v>
      </c>
      <c r="C48" s="18">
        <v>60</v>
      </c>
    </row>
    <row r="49" spans="2:3">
      <c r="B49" s="13" t="s">
        <v>70</v>
      </c>
      <c r="C49" s="18">
        <v>56</v>
      </c>
    </row>
    <row r="50" spans="2:3">
      <c r="B50" s="13" t="s">
        <v>77</v>
      </c>
      <c r="C50" s="18">
        <v>50</v>
      </c>
    </row>
    <row r="51" spans="2:3">
      <c r="B51" s="13" t="s">
        <v>128</v>
      </c>
      <c r="C51" s="18">
        <v>45</v>
      </c>
    </row>
    <row r="52" spans="2:3">
      <c r="B52" s="13" t="s">
        <v>143</v>
      </c>
      <c r="C52" s="18">
        <v>40</v>
      </c>
    </row>
    <row r="53" spans="2:3">
      <c r="B53" s="13" t="s">
        <v>106</v>
      </c>
      <c r="C53" s="18">
        <v>39.599999999999994</v>
      </c>
    </row>
    <row r="54" spans="2:3">
      <c r="B54" s="13" t="s">
        <v>54</v>
      </c>
      <c r="C54" s="18">
        <v>37.5</v>
      </c>
    </row>
    <row r="55" spans="2:3">
      <c r="B55" s="13" t="s">
        <v>126</v>
      </c>
      <c r="C55" s="18">
        <v>30</v>
      </c>
    </row>
    <row r="56" spans="2:3">
      <c r="B56" s="13" t="s">
        <v>127</v>
      </c>
      <c r="C56" s="18">
        <v>27</v>
      </c>
    </row>
    <row r="57" spans="2:3">
      <c r="B57" s="13" t="s">
        <v>134</v>
      </c>
      <c r="C57" s="18">
        <v>26</v>
      </c>
    </row>
    <row r="58" spans="2:3">
      <c r="B58" s="13" t="s">
        <v>132</v>
      </c>
      <c r="C58" s="18">
        <v>26</v>
      </c>
    </row>
    <row r="59" spans="2:3">
      <c r="B59" s="13" t="s">
        <v>129</v>
      </c>
      <c r="C59" s="18">
        <v>24</v>
      </c>
    </row>
    <row r="60" spans="2:3">
      <c r="B60" s="13" t="s">
        <v>141</v>
      </c>
      <c r="C60" s="18">
        <v>22</v>
      </c>
    </row>
    <row r="61" spans="2:3">
      <c r="B61" s="13" t="s">
        <v>125</v>
      </c>
      <c r="C61" s="18">
        <v>16</v>
      </c>
    </row>
    <row r="62" spans="2:3">
      <c r="B62" s="13" t="s">
        <v>135</v>
      </c>
      <c r="C62" s="18">
        <v>14</v>
      </c>
    </row>
    <row r="63" spans="2:3">
      <c r="B63" s="13" t="s">
        <v>52</v>
      </c>
      <c r="C63" s="18">
        <v>14</v>
      </c>
    </row>
    <row r="64" spans="2:3">
      <c r="B64" s="13" t="s">
        <v>137</v>
      </c>
      <c r="C64" s="18">
        <v>14</v>
      </c>
    </row>
    <row r="65" spans="2:3">
      <c r="B65" s="13" t="s">
        <v>95</v>
      </c>
      <c r="C65" s="18">
        <v>14</v>
      </c>
    </row>
    <row r="66" spans="2:3">
      <c r="B66" s="13" t="s">
        <v>55</v>
      </c>
      <c r="C66" s="18">
        <v>13</v>
      </c>
    </row>
    <row r="67" spans="2:3">
      <c r="B67" s="13" t="s">
        <v>50</v>
      </c>
      <c r="C67" s="18">
        <v>13</v>
      </c>
    </row>
    <row r="68" spans="2:3">
      <c r="B68" s="13" t="s">
        <v>38</v>
      </c>
      <c r="C68" s="18">
        <v>12</v>
      </c>
    </row>
    <row r="69" spans="2:3">
      <c r="B69" s="13" t="s">
        <v>29</v>
      </c>
      <c r="C69" s="18">
        <v>12</v>
      </c>
    </row>
    <row r="70" spans="2:3">
      <c r="B70" s="13" t="s">
        <v>42</v>
      </c>
      <c r="C70" s="18">
        <v>12</v>
      </c>
    </row>
    <row r="71" spans="2:3">
      <c r="B71" s="13" t="s">
        <v>112</v>
      </c>
      <c r="C71" s="18">
        <v>9</v>
      </c>
    </row>
    <row r="72" spans="2:3">
      <c r="B72" s="13" t="s">
        <v>136</v>
      </c>
      <c r="C72" s="18">
        <v>8</v>
      </c>
    </row>
    <row r="73" spans="2:3">
      <c r="B73" s="13" t="s">
        <v>104</v>
      </c>
      <c r="C73" s="18">
        <v>6.7999999999999972</v>
      </c>
    </row>
    <row r="74" spans="2:3">
      <c r="B74" s="13" t="s">
        <v>30</v>
      </c>
      <c r="C74" s="18">
        <v>6.4000000000000057</v>
      </c>
    </row>
    <row r="75" spans="2:3">
      <c r="B75" s="13" t="s">
        <v>39</v>
      </c>
      <c r="C75" s="18">
        <v>4.5000000000000018</v>
      </c>
    </row>
    <row r="76" spans="2:3">
      <c r="B76" s="13" t="s">
        <v>90</v>
      </c>
      <c r="C76" s="18">
        <v>4</v>
      </c>
    </row>
    <row r="77" spans="2:3">
      <c r="B77" s="13" t="s">
        <v>181</v>
      </c>
      <c r="C77" s="18">
        <v>4207.8</v>
      </c>
    </row>
    <row r="84" spans="2:3">
      <c r="B84" s="12" t="s">
        <v>24</v>
      </c>
      <c r="C84" s="13" t="s">
        <v>185</v>
      </c>
    </row>
    <row r="86" spans="2:3">
      <c r="B86" s="12" t="s">
        <v>18</v>
      </c>
      <c r="C86" s="13" t="s">
        <v>180</v>
      </c>
    </row>
    <row r="87" spans="2:3">
      <c r="B87" s="13" t="s">
        <v>131</v>
      </c>
      <c r="C87" s="16">
        <v>50</v>
      </c>
    </row>
    <row r="88" spans="2:3">
      <c r="B88" s="13" t="s">
        <v>76</v>
      </c>
      <c r="C88" s="16">
        <v>33</v>
      </c>
    </row>
    <row r="89" spans="2:3">
      <c r="B89" s="13" t="s">
        <v>53</v>
      </c>
      <c r="C89" s="16">
        <v>32</v>
      </c>
    </row>
    <row r="90" spans="2:3">
      <c r="B90" s="13" t="s">
        <v>106</v>
      </c>
      <c r="C90" s="16">
        <v>26</v>
      </c>
    </row>
    <row r="91" spans="2:3">
      <c r="B91" s="13" t="s">
        <v>85</v>
      </c>
      <c r="C91" s="16">
        <v>20</v>
      </c>
    </row>
    <row r="92" spans="2:3">
      <c r="B92" s="13" t="s">
        <v>77</v>
      </c>
      <c r="C92" s="16">
        <v>20</v>
      </c>
    </row>
    <row r="93" spans="2:3">
      <c r="B93" s="13" t="s">
        <v>54</v>
      </c>
      <c r="C93" s="16">
        <v>15</v>
      </c>
    </row>
    <row r="94" spans="2:3">
      <c r="B94" s="13" t="s">
        <v>25</v>
      </c>
      <c r="C94" s="16">
        <v>15</v>
      </c>
    </row>
    <row r="95" spans="2:3">
      <c r="B95" s="13" t="s">
        <v>126</v>
      </c>
      <c r="C95" s="16">
        <v>12</v>
      </c>
    </row>
    <row r="96" spans="2:3">
      <c r="B96" s="13" t="s">
        <v>129</v>
      </c>
      <c r="C96" s="16">
        <v>12</v>
      </c>
    </row>
    <row r="97" spans="2:3">
      <c r="B97" s="13" t="s">
        <v>100</v>
      </c>
      <c r="C97" s="16">
        <v>9</v>
      </c>
    </row>
    <row r="98" spans="2:3">
      <c r="B98" s="13" t="s">
        <v>30</v>
      </c>
      <c r="C98" s="16">
        <v>8</v>
      </c>
    </row>
    <row r="99" spans="2:3">
      <c r="B99" s="13" t="s">
        <v>93</v>
      </c>
      <c r="C99" s="16">
        <v>8</v>
      </c>
    </row>
    <row r="100" spans="2:3">
      <c r="B100" s="13" t="s">
        <v>94</v>
      </c>
      <c r="C100" s="16">
        <v>8</v>
      </c>
    </row>
    <row r="101" spans="2:3">
      <c r="B101" s="13" t="s">
        <v>41</v>
      </c>
      <c r="C101" s="16">
        <v>6</v>
      </c>
    </row>
    <row r="102" spans="2:3">
      <c r="B102" s="13" t="s">
        <v>138</v>
      </c>
      <c r="C102" s="16">
        <v>6</v>
      </c>
    </row>
    <row r="103" spans="2:3">
      <c r="B103" s="13" t="s">
        <v>36</v>
      </c>
      <c r="C103" s="16">
        <v>6</v>
      </c>
    </row>
    <row r="104" spans="2:3">
      <c r="B104" s="13" t="s">
        <v>39</v>
      </c>
      <c r="C104" s="16">
        <v>5</v>
      </c>
    </row>
    <row r="105" spans="2:3">
      <c r="B105" s="13" t="s">
        <v>104</v>
      </c>
      <c r="C105" s="16">
        <v>4</v>
      </c>
    </row>
    <row r="106" spans="2:3">
      <c r="B106" s="13" t="s">
        <v>125</v>
      </c>
      <c r="C106" s="16">
        <v>4</v>
      </c>
    </row>
    <row r="107" spans="2:3">
      <c r="B107" s="13" t="s">
        <v>90</v>
      </c>
      <c r="C107" s="16">
        <v>4</v>
      </c>
    </row>
    <row r="108" spans="2:3">
      <c r="B108" s="13" t="s">
        <v>32</v>
      </c>
      <c r="C108" s="16">
        <v>4</v>
      </c>
    </row>
    <row r="109" spans="2:3">
      <c r="B109" s="13" t="s">
        <v>139</v>
      </c>
      <c r="C109" s="16">
        <v>4</v>
      </c>
    </row>
    <row r="110" spans="2:3">
      <c r="B110" s="13" t="s">
        <v>128</v>
      </c>
      <c r="C110" s="16">
        <v>4</v>
      </c>
    </row>
    <row r="111" spans="2:3">
      <c r="B111" s="13" t="s">
        <v>127</v>
      </c>
      <c r="C111" s="16">
        <v>3</v>
      </c>
    </row>
    <row r="112" spans="2:3">
      <c r="B112" s="13" t="s">
        <v>34</v>
      </c>
      <c r="C112" s="16">
        <v>3</v>
      </c>
    </row>
    <row r="113" spans="2:3">
      <c r="B113" s="13" t="s">
        <v>124</v>
      </c>
      <c r="C113" s="16">
        <v>3</v>
      </c>
    </row>
    <row r="114" spans="2:3">
      <c r="B114" s="13" t="s">
        <v>59</v>
      </c>
      <c r="C114" s="16">
        <v>3</v>
      </c>
    </row>
    <row r="115" spans="2:3">
      <c r="B115" s="13" t="s">
        <v>37</v>
      </c>
      <c r="C115" s="16">
        <v>3</v>
      </c>
    </row>
    <row r="116" spans="2:3">
      <c r="B116" s="13" t="s">
        <v>107</v>
      </c>
      <c r="C116" s="16">
        <v>2</v>
      </c>
    </row>
    <row r="117" spans="2:3">
      <c r="B117" s="13" t="s">
        <v>132</v>
      </c>
      <c r="C117" s="16">
        <v>2</v>
      </c>
    </row>
    <row r="118" spans="2:3">
      <c r="B118" s="13" t="s">
        <v>52</v>
      </c>
      <c r="C118" s="16">
        <v>2</v>
      </c>
    </row>
    <row r="119" spans="2:3">
      <c r="B119" s="13" t="s">
        <v>142</v>
      </c>
      <c r="C119" s="16">
        <v>2</v>
      </c>
    </row>
    <row r="120" spans="2:3">
      <c r="B120" s="13" t="s">
        <v>29</v>
      </c>
      <c r="C120" s="16">
        <v>2</v>
      </c>
    </row>
    <row r="121" spans="2:3">
      <c r="B121" s="13" t="s">
        <v>137</v>
      </c>
      <c r="C121" s="16">
        <v>2</v>
      </c>
    </row>
    <row r="122" spans="2:3">
      <c r="B122" s="13" t="s">
        <v>136</v>
      </c>
      <c r="C122" s="16">
        <v>2</v>
      </c>
    </row>
    <row r="123" spans="2:3">
      <c r="B123" s="13" t="s">
        <v>70</v>
      </c>
      <c r="C123" s="16">
        <v>2</v>
      </c>
    </row>
    <row r="124" spans="2:3">
      <c r="B124" s="13" t="s">
        <v>95</v>
      </c>
      <c r="C124" s="16">
        <v>2</v>
      </c>
    </row>
    <row r="125" spans="2:3">
      <c r="B125" s="13" t="s">
        <v>135</v>
      </c>
      <c r="C125" s="16">
        <v>2</v>
      </c>
    </row>
    <row r="126" spans="2:3">
      <c r="B126" s="13" t="s">
        <v>140</v>
      </c>
      <c r="C126" s="16">
        <v>1</v>
      </c>
    </row>
    <row r="127" spans="2:3">
      <c r="B127" s="13" t="s">
        <v>134</v>
      </c>
      <c r="C127" s="16">
        <v>1</v>
      </c>
    </row>
    <row r="128" spans="2:3">
      <c r="B128" s="13" t="s">
        <v>141</v>
      </c>
      <c r="C128" s="16">
        <v>1</v>
      </c>
    </row>
    <row r="129" spans="2:3">
      <c r="B129" s="13" t="s">
        <v>55</v>
      </c>
      <c r="C129" s="16">
        <v>1</v>
      </c>
    </row>
    <row r="130" spans="2:3">
      <c r="B130" s="13" t="s">
        <v>130</v>
      </c>
      <c r="C130" s="16">
        <v>1</v>
      </c>
    </row>
    <row r="131" spans="2:3">
      <c r="B131" s="13" t="s">
        <v>103</v>
      </c>
      <c r="C131" s="16">
        <v>1</v>
      </c>
    </row>
    <row r="132" spans="2:3">
      <c r="B132" s="13" t="s">
        <v>143</v>
      </c>
      <c r="C132" s="16">
        <v>1</v>
      </c>
    </row>
    <row r="133" spans="2:3">
      <c r="B133" s="13" t="s">
        <v>42</v>
      </c>
      <c r="C133" s="16">
        <v>1</v>
      </c>
    </row>
    <row r="134" spans="2:3">
      <c r="B134" s="13" t="s">
        <v>50</v>
      </c>
      <c r="C134" s="16">
        <v>1</v>
      </c>
    </row>
    <row r="135" spans="2:3">
      <c r="B135" s="13" t="s">
        <v>112</v>
      </c>
      <c r="C135" s="16">
        <v>1</v>
      </c>
    </row>
    <row r="136" spans="2:3">
      <c r="B136" s="13" t="s">
        <v>38</v>
      </c>
      <c r="C136" s="16">
        <v>1</v>
      </c>
    </row>
    <row r="137" spans="2:3">
      <c r="B137" s="13" t="s">
        <v>133</v>
      </c>
      <c r="C137" s="16">
        <v>1</v>
      </c>
    </row>
    <row r="138" spans="2:3">
      <c r="B138" s="13" t="s">
        <v>181</v>
      </c>
      <c r="C138" s="16">
        <v>362</v>
      </c>
    </row>
  </sheetData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1CCA-05C6-4A6D-A834-8A243421B4E1}">
  <dimension ref="B2:C121"/>
  <sheetViews>
    <sheetView workbookViewId="0">
      <selection activeCell="E77" sqref="E77"/>
    </sheetView>
  </sheetViews>
  <sheetFormatPr defaultRowHeight="15"/>
  <cols>
    <col min="2" max="2" width="15.5703125" bestFit="1" customWidth="1"/>
    <col min="3" max="3" width="12.85546875" bestFit="1" customWidth="1"/>
  </cols>
  <sheetData>
    <row r="2" spans="2:3">
      <c r="B2" s="104" t="s">
        <v>24</v>
      </c>
      <c r="C2" t="s">
        <v>186</v>
      </c>
    </row>
    <row r="4" spans="2:3">
      <c r="B4" s="104" t="s">
        <v>17</v>
      </c>
      <c r="C4" t="s">
        <v>178</v>
      </c>
    </row>
    <row r="5" spans="2:3">
      <c r="B5" s="105">
        <v>46272</v>
      </c>
      <c r="C5" s="106">
        <v>783</v>
      </c>
    </row>
    <row r="6" spans="2:3">
      <c r="B6" s="105">
        <v>46273</v>
      </c>
      <c r="C6" s="106">
        <v>753.6</v>
      </c>
    </row>
    <row r="7" spans="2:3">
      <c r="B7" s="105">
        <v>46274</v>
      </c>
      <c r="C7" s="106">
        <v>481.5</v>
      </c>
    </row>
    <row r="8" spans="2:3">
      <c r="B8" s="105">
        <v>46275</v>
      </c>
      <c r="C8" s="106">
        <v>446</v>
      </c>
    </row>
    <row r="9" spans="2:3">
      <c r="B9" s="105">
        <v>46276</v>
      </c>
      <c r="C9" s="106">
        <v>526</v>
      </c>
    </row>
    <row r="10" spans="2:3">
      <c r="B10" s="105">
        <v>46277</v>
      </c>
      <c r="C10" s="106">
        <v>322.5</v>
      </c>
    </row>
    <row r="11" spans="2:3">
      <c r="B11" s="105">
        <v>46278</v>
      </c>
      <c r="C11" s="106">
        <v>517</v>
      </c>
    </row>
    <row r="12" spans="2:3">
      <c r="B12" s="105" t="s">
        <v>181</v>
      </c>
      <c r="C12" s="106">
        <v>3829.6</v>
      </c>
    </row>
    <row r="22" spans="2:3">
      <c r="B22" s="104" t="s">
        <v>24</v>
      </c>
      <c r="C22" t="s">
        <v>186</v>
      </c>
    </row>
    <row r="24" spans="2:3">
      <c r="B24" s="104" t="s">
        <v>18</v>
      </c>
      <c r="C24" t="s">
        <v>180</v>
      </c>
    </row>
    <row r="25" spans="2:3">
      <c r="B25" t="s">
        <v>30</v>
      </c>
      <c r="C25" s="107">
        <v>25</v>
      </c>
    </row>
    <row r="26" spans="2:3">
      <c r="B26" t="s">
        <v>56</v>
      </c>
      <c r="C26" s="107">
        <v>20</v>
      </c>
    </row>
    <row r="27" spans="2:3">
      <c r="B27" t="s">
        <v>76</v>
      </c>
      <c r="C27" s="107">
        <v>20</v>
      </c>
    </row>
    <row r="28" spans="2:3">
      <c r="B28" t="s">
        <v>39</v>
      </c>
      <c r="C28" s="107">
        <v>19</v>
      </c>
    </row>
    <row r="29" spans="2:3">
      <c r="B29" t="s">
        <v>32</v>
      </c>
      <c r="C29" s="107">
        <v>13</v>
      </c>
    </row>
    <row r="30" spans="2:3">
      <c r="B30" t="s">
        <v>34</v>
      </c>
      <c r="C30" s="107">
        <v>13</v>
      </c>
    </row>
    <row r="31" spans="2:3">
      <c r="B31" t="s">
        <v>25</v>
      </c>
      <c r="C31" s="107">
        <v>12</v>
      </c>
    </row>
    <row r="32" spans="2:3">
      <c r="B32" t="s">
        <v>84</v>
      </c>
      <c r="C32" s="107">
        <v>10</v>
      </c>
    </row>
    <row r="33" spans="2:3">
      <c r="B33" t="s">
        <v>36</v>
      </c>
      <c r="C33" s="107">
        <v>8</v>
      </c>
    </row>
    <row r="34" spans="2:3">
      <c r="B34" t="s">
        <v>43</v>
      </c>
      <c r="C34" s="107">
        <v>6</v>
      </c>
    </row>
    <row r="35" spans="2:3">
      <c r="B35" t="s">
        <v>156</v>
      </c>
      <c r="C35" s="107">
        <v>6</v>
      </c>
    </row>
    <row r="36" spans="2:3">
      <c r="B36" t="s">
        <v>35</v>
      </c>
      <c r="C36" s="107">
        <v>6</v>
      </c>
    </row>
    <row r="37" spans="2:3">
      <c r="B37" t="s">
        <v>54</v>
      </c>
      <c r="C37" s="107">
        <v>6</v>
      </c>
    </row>
    <row r="38" spans="2:3">
      <c r="B38" t="s">
        <v>42</v>
      </c>
      <c r="C38" s="107">
        <v>5</v>
      </c>
    </row>
    <row r="39" spans="2:3">
      <c r="B39" t="s">
        <v>38</v>
      </c>
      <c r="C39" s="107">
        <v>5</v>
      </c>
    </row>
    <row r="40" spans="2:3">
      <c r="B40" t="s">
        <v>29</v>
      </c>
      <c r="C40" s="107">
        <v>4</v>
      </c>
    </row>
    <row r="41" spans="2:3">
      <c r="B41" t="s">
        <v>37</v>
      </c>
      <c r="C41" s="107">
        <v>4</v>
      </c>
    </row>
    <row r="42" spans="2:3">
      <c r="B42" t="s">
        <v>53</v>
      </c>
      <c r="C42" s="107">
        <v>3</v>
      </c>
    </row>
    <row r="43" spans="2:3">
      <c r="B43" t="s">
        <v>33</v>
      </c>
      <c r="C43" s="107">
        <v>3</v>
      </c>
    </row>
    <row r="44" spans="2:3">
      <c r="B44" t="s">
        <v>157</v>
      </c>
      <c r="C44" s="107">
        <v>3</v>
      </c>
    </row>
    <row r="45" spans="2:3">
      <c r="B45" t="s">
        <v>58</v>
      </c>
      <c r="C45" s="107">
        <v>3</v>
      </c>
    </row>
    <row r="46" spans="2:3">
      <c r="B46" t="s">
        <v>159</v>
      </c>
      <c r="C46" s="107">
        <v>2</v>
      </c>
    </row>
    <row r="47" spans="2:3">
      <c r="B47" t="s">
        <v>41</v>
      </c>
      <c r="C47" s="107">
        <v>2</v>
      </c>
    </row>
    <row r="48" spans="2:3">
      <c r="B48" t="s">
        <v>118</v>
      </c>
      <c r="C48" s="107">
        <v>2</v>
      </c>
    </row>
    <row r="49" spans="2:3">
      <c r="B49" t="s">
        <v>161</v>
      </c>
      <c r="C49" s="107">
        <v>2</v>
      </c>
    </row>
    <row r="50" spans="2:3">
      <c r="B50" t="s">
        <v>100</v>
      </c>
      <c r="C50" s="107">
        <v>2</v>
      </c>
    </row>
    <row r="51" spans="2:3">
      <c r="B51" t="s">
        <v>160</v>
      </c>
      <c r="C51" s="107">
        <v>2</v>
      </c>
    </row>
    <row r="52" spans="2:3">
      <c r="B52" t="s">
        <v>49</v>
      </c>
      <c r="C52" s="107">
        <v>2</v>
      </c>
    </row>
    <row r="53" spans="2:3">
      <c r="B53" t="s">
        <v>55</v>
      </c>
      <c r="C53" s="107">
        <v>2</v>
      </c>
    </row>
    <row r="54" spans="2:3">
      <c r="B54" t="s">
        <v>79</v>
      </c>
      <c r="C54" s="107">
        <v>2</v>
      </c>
    </row>
    <row r="55" spans="2:3">
      <c r="B55" t="s">
        <v>44</v>
      </c>
      <c r="C55" s="107">
        <v>2</v>
      </c>
    </row>
    <row r="56" spans="2:3">
      <c r="B56" t="s">
        <v>48</v>
      </c>
      <c r="C56" s="107">
        <v>2</v>
      </c>
    </row>
    <row r="57" spans="2:3">
      <c r="B57" t="s">
        <v>117</v>
      </c>
      <c r="C57" s="107">
        <v>2</v>
      </c>
    </row>
    <row r="58" spans="2:3">
      <c r="B58" t="s">
        <v>50</v>
      </c>
      <c r="C58" s="107">
        <v>2</v>
      </c>
    </row>
    <row r="59" spans="2:3">
      <c r="B59" t="s">
        <v>47</v>
      </c>
      <c r="C59" s="107">
        <v>2</v>
      </c>
    </row>
    <row r="60" spans="2:3">
      <c r="B60" t="s">
        <v>27</v>
      </c>
      <c r="C60" s="107">
        <v>2</v>
      </c>
    </row>
    <row r="61" spans="2:3">
      <c r="B61" t="s">
        <v>158</v>
      </c>
      <c r="C61" s="107">
        <v>1</v>
      </c>
    </row>
    <row r="62" spans="2:3">
      <c r="B62" t="s">
        <v>62</v>
      </c>
      <c r="C62" s="107">
        <v>1</v>
      </c>
    </row>
    <row r="63" spans="2:3">
      <c r="B63" t="s">
        <v>98</v>
      </c>
      <c r="C63" s="107">
        <v>1</v>
      </c>
    </row>
    <row r="64" spans="2:3">
      <c r="B64" t="s">
        <v>40</v>
      </c>
      <c r="C64" s="107">
        <v>1</v>
      </c>
    </row>
    <row r="65" spans="2:3">
      <c r="B65" t="s">
        <v>31</v>
      </c>
      <c r="C65" s="107">
        <v>1</v>
      </c>
    </row>
    <row r="66" spans="2:3">
      <c r="B66" t="s">
        <v>28</v>
      </c>
      <c r="C66" s="107">
        <v>1</v>
      </c>
    </row>
    <row r="67" spans="2:3">
      <c r="B67" t="s">
        <v>26</v>
      </c>
      <c r="C67" s="107">
        <v>1</v>
      </c>
    </row>
    <row r="68" spans="2:3">
      <c r="B68" t="s">
        <v>181</v>
      </c>
      <c r="C68" s="107">
        <v>231</v>
      </c>
    </row>
    <row r="75" spans="2:3">
      <c r="B75" s="104" t="s">
        <v>24</v>
      </c>
      <c r="C75" t="s">
        <v>186</v>
      </c>
    </row>
    <row r="77" spans="2:3">
      <c r="B77" s="104" t="s">
        <v>18</v>
      </c>
      <c r="C77" t="s">
        <v>179</v>
      </c>
    </row>
    <row r="78" spans="2:3">
      <c r="B78" t="s">
        <v>34</v>
      </c>
      <c r="C78" s="106">
        <v>468</v>
      </c>
    </row>
    <row r="79" spans="2:3">
      <c r="B79" t="s">
        <v>157</v>
      </c>
      <c r="C79" s="106">
        <v>460</v>
      </c>
    </row>
    <row r="80" spans="2:3">
      <c r="B80" t="s">
        <v>160</v>
      </c>
      <c r="C80" s="106">
        <v>400</v>
      </c>
    </row>
    <row r="81" spans="2:3">
      <c r="B81" t="s">
        <v>49</v>
      </c>
      <c r="C81" s="106">
        <v>260</v>
      </c>
    </row>
    <row r="82" spans="2:3">
      <c r="B82" t="s">
        <v>76</v>
      </c>
      <c r="C82" s="106">
        <v>260</v>
      </c>
    </row>
    <row r="83" spans="2:3">
      <c r="B83" t="s">
        <v>26</v>
      </c>
      <c r="C83" s="106">
        <v>140</v>
      </c>
    </row>
    <row r="84" spans="2:3">
      <c r="B84" t="s">
        <v>79</v>
      </c>
      <c r="C84" s="106">
        <v>136</v>
      </c>
    </row>
    <row r="85" spans="2:3">
      <c r="B85" t="s">
        <v>40</v>
      </c>
      <c r="C85" s="106">
        <v>130</v>
      </c>
    </row>
    <row r="86" spans="2:3">
      <c r="B86" t="s">
        <v>28</v>
      </c>
      <c r="C86" s="106">
        <v>120</v>
      </c>
    </row>
    <row r="87" spans="2:3">
      <c r="B87" t="s">
        <v>25</v>
      </c>
      <c r="C87" s="106">
        <v>120</v>
      </c>
    </row>
    <row r="88" spans="2:3">
      <c r="B88" t="s">
        <v>156</v>
      </c>
      <c r="C88" s="106">
        <v>114</v>
      </c>
    </row>
    <row r="89" spans="2:3">
      <c r="B89" t="s">
        <v>32</v>
      </c>
      <c r="C89" s="106">
        <v>104</v>
      </c>
    </row>
    <row r="90" spans="2:3">
      <c r="B90" t="s">
        <v>37</v>
      </c>
      <c r="C90" s="106">
        <v>80</v>
      </c>
    </row>
    <row r="91" spans="2:3">
      <c r="B91" t="s">
        <v>31</v>
      </c>
      <c r="C91" s="106">
        <v>70</v>
      </c>
    </row>
    <row r="92" spans="2:3">
      <c r="B92" t="s">
        <v>161</v>
      </c>
      <c r="C92" s="106">
        <v>60</v>
      </c>
    </row>
    <row r="93" spans="2:3">
      <c r="B93" t="s">
        <v>36</v>
      </c>
      <c r="C93" s="106">
        <v>56</v>
      </c>
    </row>
    <row r="94" spans="2:3">
      <c r="B94" t="s">
        <v>35</v>
      </c>
      <c r="C94" s="106">
        <v>54</v>
      </c>
    </row>
    <row r="95" spans="2:3">
      <c r="B95" t="s">
        <v>159</v>
      </c>
      <c r="C95" s="106">
        <v>54</v>
      </c>
    </row>
    <row r="96" spans="2:3">
      <c r="B96" t="s">
        <v>43</v>
      </c>
      <c r="C96" s="106">
        <v>54</v>
      </c>
    </row>
    <row r="97" spans="2:3">
      <c r="B97" t="s">
        <v>27</v>
      </c>
      <c r="C97" s="106">
        <v>52</v>
      </c>
    </row>
    <row r="98" spans="2:3">
      <c r="B98" t="s">
        <v>117</v>
      </c>
      <c r="C98" s="106">
        <v>50</v>
      </c>
    </row>
    <row r="99" spans="2:3">
      <c r="B99" t="s">
        <v>42</v>
      </c>
      <c r="C99" s="106">
        <v>45</v>
      </c>
    </row>
    <row r="100" spans="2:3">
      <c r="B100" t="s">
        <v>118</v>
      </c>
      <c r="C100" s="106">
        <v>40</v>
      </c>
    </row>
    <row r="101" spans="2:3">
      <c r="B101" t="s">
        <v>48</v>
      </c>
      <c r="C101" s="106">
        <v>40</v>
      </c>
    </row>
    <row r="102" spans="2:3">
      <c r="B102" t="s">
        <v>55</v>
      </c>
      <c r="C102" s="106">
        <v>40</v>
      </c>
    </row>
    <row r="103" spans="2:3">
      <c r="B103" t="s">
        <v>62</v>
      </c>
      <c r="C103" s="106">
        <v>40</v>
      </c>
    </row>
    <row r="104" spans="2:3">
      <c r="B104" t="s">
        <v>84</v>
      </c>
      <c r="C104" s="106">
        <v>35</v>
      </c>
    </row>
    <row r="105" spans="2:3">
      <c r="B105" t="s">
        <v>41</v>
      </c>
      <c r="C105" s="106">
        <v>34</v>
      </c>
    </row>
    <row r="106" spans="2:3">
      <c r="B106" t="s">
        <v>98</v>
      </c>
      <c r="C106" s="106">
        <v>30</v>
      </c>
    </row>
    <row r="107" spans="2:3">
      <c r="B107" t="s">
        <v>50</v>
      </c>
      <c r="C107" s="106">
        <v>30</v>
      </c>
    </row>
    <row r="108" spans="2:3">
      <c r="B108" t="s">
        <v>29</v>
      </c>
      <c r="C108" s="106">
        <v>28</v>
      </c>
    </row>
    <row r="109" spans="2:3">
      <c r="B109" t="s">
        <v>47</v>
      </c>
      <c r="C109" s="106">
        <v>26</v>
      </c>
    </row>
    <row r="110" spans="2:3">
      <c r="B110" t="s">
        <v>44</v>
      </c>
      <c r="C110" s="106">
        <v>24</v>
      </c>
    </row>
    <row r="111" spans="2:3">
      <c r="B111" t="s">
        <v>58</v>
      </c>
      <c r="C111" s="106">
        <v>24</v>
      </c>
    </row>
    <row r="112" spans="2:3">
      <c r="B112" t="s">
        <v>158</v>
      </c>
      <c r="C112" s="106">
        <v>21</v>
      </c>
    </row>
    <row r="113" spans="2:3">
      <c r="B113" t="s">
        <v>38</v>
      </c>
      <c r="C113" s="106">
        <v>20</v>
      </c>
    </row>
    <row r="114" spans="2:3">
      <c r="B114" t="s">
        <v>100</v>
      </c>
      <c r="C114" s="106">
        <v>18</v>
      </c>
    </row>
    <row r="115" spans="2:3">
      <c r="B115" t="s">
        <v>54</v>
      </c>
      <c r="C115" s="106">
        <v>18</v>
      </c>
    </row>
    <row r="116" spans="2:3">
      <c r="B116" t="s">
        <v>33</v>
      </c>
      <c r="C116" s="106">
        <v>18</v>
      </c>
    </row>
    <row r="117" spans="2:3">
      <c r="B117" t="s">
        <v>30</v>
      </c>
      <c r="C117" s="106">
        <v>16.100000000000009</v>
      </c>
    </row>
    <row r="118" spans="2:3">
      <c r="B118" t="s">
        <v>56</v>
      </c>
      <c r="C118" s="106">
        <v>15.999999999999996</v>
      </c>
    </row>
    <row r="119" spans="2:3">
      <c r="B119" t="s">
        <v>39</v>
      </c>
      <c r="C119" s="106">
        <v>15.5</v>
      </c>
    </row>
    <row r="120" spans="2:3">
      <c r="B120" t="s">
        <v>53</v>
      </c>
      <c r="C120" s="106">
        <v>9</v>
      </c>
    </row>
    <row r="121" spans="2:3">
      <c r="B121" t="s">
        <v>181</v>
      </c>
      <c r="C121" s="106">
        <v>3829.6</v>
      </c>
    </row>
  </sheetData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B7FE-5EE6-49CE-B43E-9B356443CCA5}">
  <dimension ref="B2:C126"/>
  <sheetViews>
    <sheetView topLeftCell="A77" workbookViewId="0">
      <selection activeCell="B19" sqref="B19"/>
    </sheetView>
  </sheetViews>
  <sheetFormatPr defaultRowHeight="15"/>
  <cols>
    <col min="2" max="2" width="17.7109375" bestFit="1" customWidth="1"/>
    <col min="3" max="3" width="10.85546875" bestFit="1" customWidth="1"/>
  </cols>
  <sheetData>
    <row r="2" spans="2:3">
      <c r="B2" s="12" t="s">
        <v>24</v>
      </c>
      <c r="C2" s="13" t="s">
        <v>187</v>
      </c>
    </row>
    <row r="3" spans="2:3">
      <c r="B3" s="13"/>
      <c r="C3" s="13"/>
    </row>
    <row r="4" spans="2:3">
      <c r="B4" s="12" t="s">
        <v>17</v>
      </c>
      <c r="C4" s="13" t="s">
        <v>178</v>
      </c>
    </row>
    <row r="5" spans="2:3">
      <c r="B5" s="17">
        <v>46265</v>
      </c>
      <c r="C5" s="18">
        <v>1064</v>
      </c>
    </row>
    <row r="6" spans="2:3">
      <c r="B6" s="17">
        <v>46266</v>
      </c>
      <c r="C6" s="18">
        <v>813.4</v>
      </c>
    </row>
    <row r="7" spans="2:3">
      <c r="B7" s="17">
        <v>46267</v>
      </c>
      <c r="C7" s="18">
        <v>853.6</v>
      </c>
    </row>
    <row r="8" spans="2:3">
      <c r="B8" s="17">
        <v>46268</v>
      </c>
      <c r="C8" s="18">
        <v>299</v>
      </c>
    </row>
    <row r="9" spans="2:3">
      <c r="B9" s="17">
        <v>46269</v>
      </c>
      <c r="C9" s="18">
        <v>755.5</v>
      </c>
    </row>
    <row r="10" spans="2:3">
      <c r="B10" s="17">
        <v>46270</v>
      </c>
      <c r="C10" s="18">
        <v>376.6</v>
      </c>
    </row>
    <row r="11" spans="2:3">
      <c r="B11" s="17">
        <v>46271</v>
      </c>
      <c r="C11" s="18">
        <v>688.25</v>
      </c>
    </row>
    <row r="12" spans="2:3">
      <c r="B12" s="17" t="s">
        <v>181</v>
      </c>
      <c r="C12" s="18">
        <v>4850.3500000000004</v>
      </c>
    </row>
    <row r="26" spans="2:3">
      <c r="B26" s="12" t="s">
        <v>24</v>
      </c>
      <c r="C26" s="13" t="s">
        <v>187</v>
      </c>
    </row>
    <row r="27" spans="2:3">
      <c r="B27" s="13"/>
      <c r="C27" s="13"/>
    </row>
    <row r="28" spans="2:3">
      <c r="B28" s="12" t="s">
        <v>18</v>
      </c>
      <c r="C28" s="13" t="s">
        <v>179</v>
      </c>
    </row>
    <row r="29" spans="2:3">
      <c r="B29" s="13" t="s">
        <v>76</v>
      </c>
      <c r="C29" s="18">
        <v>860</v>
      </c>
    </row>
    <row r="30" spans="2:3">
      <c r="B30" s="13" t="s">
        <v>146</v>
      </c>
      <c r="C30" s="18">
        <v>355</v>
      </c>
    </row>
    <row r="31" spans="2:3">
      <c r="B31" s="13" t="s">
        <v>154</v>
      </c>
      <c r="C31" s="18">
        <v>350</v>
      </c>
    </row>
    <row r="32" spans="2:3">
      <c r="B32" s="13" t="s">
        <v>145</v>
      </c>
      <c r="C32" s="18">
        <v>328</v>
      </c>
    </row>
    <row r="33" spans="2:3">
      <c r="B33" s="13" t="s">
        <v>109</v>
      </c>
      <c r="C33" s="18">
        <v>280</v>
      </c>
    </row>
    <row r="34" spans="2:3">
      <c r="B34" s="13" t="s">
        <v>41</v>
      </c>
      <c r="C34" s="18">
        <v>262</v>
      </c>
    </row>
    <row r="35" spans="2:3">
      <c r="B35" s="13" t="s">
        <v>34</v>
      </c>
      <c r="C35" s="18">
        <v>196</v>
      </c>
    </row>
    <row r="36" spans="2:3">
      <c r="B36" s="13" t="s">
        <v>147</v>
      </c>
      <c r="C36" s="18">
        <v>174</v>
      </c>
    </row>
    <row r="37" spans="2:3">
      <c r="B37" s="13" t="s">
        <v>152</v>
      </c>
      <c r="C37" s="18">
        <v>170</v>
      </c>
    </row>
    <row r="38" spans="2:3">
      <c r="B38" s="13" t="s">
        <v>36</v>
      </c>
      <c r="C38" s="18">
        <v>168</v>
      </c>
    </row>
    <row r="39" spans="2:3">
      <c r="B39" s="13" t="s">
        <v>79</v>
      </c>
      <c r="C39" s="18">
        <v>160</v>
      </c>
    </row>
    <row r="40" spans="2:3">
      <c r="B40" s="13" t="s">
        <v>25</v>
      </c>
      <c r="C40" s="18">
        <v>156</v>
      </c>
    </row>
    <row r="41" spans="2:3">
      <c r="B41" s="13" t="s">
        <v>133</v>
      </c>
      <c r="C41" s="18">
        <v>128</v>
      </c>
    </row>
    <row r="42" spans="2:3">
      <c r="B42" s="13" t="s">
        <v>26</v>
      </c>
      <c r="C42" s="18">
        <v>120</v>
      </c>
    </row>
    <row r="43" spans="2:3">
      <c r="B43" s="13" t="s">
        <v>148</v>
      </c>
      <c r="C43" s="18">
        <v>108</v>
      </c>
    </row>
    <row r="44" spans="2:3">
      <c r="B44" s="13" t="s">
        <v>100</v>
      </c>
      <c r="C44" s="18">
        <v>86</v>
      </c>
    </row>
    <row r="45" spans="2:3">
      <c r="B45" s="13" t="s">
        <v>134</v>
      </c>
      <c r="C45" s="18">
        <v>83</v>
      </c>
    </row>
    <row r="46" spans="2:3">
      <c r="B46" s="13" t="s">
        <v>106</v>
      </c>
      <c r="C46" s="18">
        <v>79.900000000000006</v>
      </c>
    </row>
    <row r="47" spans="2:3">
      <c r="B47" s="13" t="s">
        <v>77</v>
      </c>
      <c r="C47" s="18">
        <v>59</v>
      </c>
    </row>
    <row r="48" spans="2:3">
      <c r="B48" s="13" t="s">
        <v>149</v>
      </c>
      <c r="C48" s="18">
        <v>57.599999999999994</v>
      </c>
    </row>
    <row r="49" spans="2:3">
      <c r="B49" s="13" t="s">
        <v>127</v>
      </c>
      <c r="C49" s="18">
        <v>54</v>
      </c>
    </row>
    <row r="50" spans="2:3">
      <c r="B50" s="13" t="s">
        <v>107</v>
      </c>
      <c r="C50" s="18">
        <v>51</v>
      </c>
    </row>
    <row r="51" spans="2:3">
      <c r="B51" s="13" t="s">
        <v>128</v>
      </c>
      <c r="C51" s="18">
        <v>51</v>
      </c>
    </row>
    <row r="52" spans="2:3">
      <c r="B52" s="13" t="s">
        <v>43</v>
      </c>
      <c r="C52" s="18">
        <v>48</v>
      </c>
    </row>
    <row r="53" spans="2:3">
      <c r="B53" s="13" t="s">
        <v>42</v>
      </c>
      <c r="C53" s="18">
        <v>48</v>
      </c>
    </row>
    <row r="54" spans="2:3">
      <c r="B54" s="13" t="s">
        <v>155</v>
      </c>
      <c r="C54" s="18">
        <v>45</v>
      </c>
    </row>
    <row r="55" spans="2:3">
      <c r="B55" s="13" t="s">
        <v>144</v>
      </c>
      <c r="C55" s="18">
        <v>44</v>
      </c>
    </row>
    <row r="56" spans="2:3">
      <c r="B56" s="13" t="s">
        <v>54</v>
      </c>
      <c r="C56" s="18">
        <v>41.25</v>
      </c>
    </row>
    <row r="57" spans="2:3">
      <c r="B57" s="13" t="s">
        <v>55</v>
      </c>
      <c r="C57" s="18">
        <v>36</v>
      </c>
    </row>
    <row r="58" spans="2:3">
      <c r="B58" s="13" t="s">
        <v>53</v>
      </c>
      <c r="C58" s="18">
        <v>36</v>
      </c>
    </row>
    <row r="59" spans="2:3">
      <c r="B59" s="13" t="s">
        <v>126</v>
      </c>
      <c r="C59" s="18">
        <v>30</v>
      </c>
    </row>
    <row r="60" spans="2:3">
      <c r="B60" s="13" t="s">
        <v>150</v>
      </c>
      <c r="C60" s="18">
        <v>27</v>
      </c>
    </row>
    <row r="61" spans="2:3">
      <c r="B61" s="13" t="s">
        <v>37</v>
      </c>
      <c r="C61" s="18">
        <v>26</v>
      </c>
    </row>
    <row r="62" spans="2:3">
      <c r="B62" s="13" t="s">
        <v>38</v>
      </c>
      <c r="C62" s="18">
        <v>24</v>
      </c>
    </row>
    <row r="63" spans="2:3">
      <c r="B63" s="13" t="s">
        <v>95</v>
      </c>
      <c r="C63" s="18">
        <v>22</v>
      </c>
    </row>
    <row r="64" spans="2:3">
      <c r="B64" s="13" t="s">
        <v>35</v>
      </c>
      <c r="C64" s="18">
        <v>22</v>
      </c>
    </row>
    <row r="65" spans="2:3">
      <c r="B65" s="13" t="s">
        <v>151</v>
      </c>
      <c r="C65" s="18">
        <v>16</v>
      </c>
    </row>
    <row r="66" spans="2:3">
      <c r="B66" s="13" t="s">
        <v>153</v>
      </c>
      <c r="C66" s="18">
        <v>12</v>
      </c>
    </row>
    <row r="67" spans="2:3">
      <c r="B67" s="13" t="s">
        <v>29</v>
      </c>
      <c r="C67" s="18">
        <v>12</v>
      </c>
    </row>
    <row r="68" spans="2:3">
      <c r="B68" s="13" t="s">
        <v>84</v>
      </c>
      <c r="C68" s="18">
        <v>7.2000000000000064</v>
      </c>
    </row>
    <row r="69" spans="2:3">
      <c r="B69" s="13" t="s">
        <v>104</v>
      </c>
      <c r="C69" s="18">
        <v>6</v>
      </c>
    </row>
    <row r="70" spans="2:3">
      <c r="B70" s="13" t="s">
        <v>129</v>
      </c>
      <c r="C70" s="18">
        <v>6</v>
      </c>
    </row>
    <row r="71" spans="2:3">
      <c r="B71" s="13" t="s">
        <v>30</v>
      </c>
      <c r="C71" s="18">
        <v>5.4000000000000021</v>
      </c>
    </row>
    <row r="72" spans="2:3">
      <c r="B72" s="13" t="s">
        <v>181</v>
      </c>
      <c r="C72" s="18">
        <v>4850.3499999999995</v>
      </c>
    </row>
    <row r="80" spans="2:3">
      <c r="B80" s="12" t="s">
        <v>24</v>
      </c>
      <c r="C80" s="13" t="s">
        <v>187</v>
      </c>
    </row>
    <row r="81" spans="2:3">
      <c r="B81" s="13"/>
      <c r="C81" s="13"/>
    </row>
    <row r="82" spans="2:3">
      <c r="B82" s="12" t="s">
        <v>18</v>
      </c>
      <c r="C82" s="13" t="s">
        <v>180</v>
      </c>
    </row>
    <row r="83" spans="2:3">
      <c r="B83" s="13" t="s">
        <v>76</v>
      </c>
      <c r="C83" s="16">
        <v>58</v>
      </c>
    </row>
    <row r="84" spans="2:3">
      <c r="B84" s="13" t="s">
        <v>106</v>
      </c>
      <c r="C84" s="16">
        <v>43</v>
      </c>
    </row>
    <row r="85" spans="2:3">
      <c r="B85" s="13" t="s">
        <v>77</v>
      </c>
      <c r="C85" s="16">
        <v>26</v>
      </c>
    </row>
    <row r="86" spans="2:3">
      <c r="B86" s="13" t="s">
        <v>54</v>
      </c>
      <c r="C86" s="16">
        <v>15</v>
      </c>
    </row>
    <row r="87" spans="2:3">
      <c r="B87" s="13" t="s">
        <v>155</v>
      </c>
      <c r="C87" s="16">
        <v>15</v>
      </c>
    </row>
    <row r="88" spans="2:3">
      <c r="B88" s="13" t="s">
        <v>126</v>
      </c>
      <c r="C88" s="16">
        <v>12</v>
      </c>
    </row>
    <row r="89" spans="2:3">
      <c r="B89" s="13" t="s">
        <v>25</v>
      </c>
      <c r="C89" s="16">
        <v>12</v>
      </c>
    </row>
    <row r="90" spans="2:3">
      <c r="B90" s="13" t="s">
        <v>149</v>
      </c>
      <c r="C90" s="16">
        <v>10</v>
      </c>
    </row>
    <row r="91" spans="2:3">
      <c r="B91" s="13" t="s">
        <v>41</v>
      </c>
      <c r="C91" s="16">
        <v>9</v>
      </c>
    </row>
    <row r="92" spans="2:3">
      <c r="B92" s="13" t="s">
        <v>84</v>
      </c>
      <c r="C92" s="16">
        <v>9</v>
      </c>
    </row>
    <row r="93" spans="2:3">
      <c r="B93" s="13" t="s">
        <v>36</v>
      </c>
      <c r="C93" s="16">
        <v>8</v>
      </c>
    </row>
    <row r="94" spans="2:3">
      <c r="B94" s="13" t="s">
        <v>30</v>
      </c>
      <c r="C94" s="16">
        <v>6</v>
      </c>
    </row>
    <row r="95" spans="2:3">
      <c r="B95" s="13" t="s">
        <v>53</v>
      </c>
      <c r="C95" s="16">
        <v>6</v>
      </c>
    </row>
    <row r="96" spans="2:3">
      <c r="B96" s="13" t="s">
        <v>148</v>
      </c>
      <c r="C96" s="16">
        <v>6</v>
      </c>
    </row>
    <row r="97" spans="2:3">
      <c r="B97" s="13" t="s">
        <v>129</v>
      </c>
      <c r="C97" s="16">
        <v>6</v>
      </c>
    </row>
    <row r="98" spans="2:3">
      <c r="B98" s="13" t="s">
        <v>43</v>
      </c>
      <c r="C98" s="16">
        <v>6</v>
      </c>
    </row>
    <row r="99" spans="2:3">
      <c r="B99" s="13" t="s">
        <v>147</v>
      </c>
      <c r="C99" s="16">
        <v>6</v>
      </c>
    </row>
    <row r="100" spans="2:3">
      <c r="B100" s="13" t="s">
        <v>42</v>
      </c>
      <c r="C100" s="16">
        <v>4</v>
      </c>
    </row>
    <row r="101" spans="2:3">
      <c r="B101" s="13" t="s">
        <v>127</v>
      </c>
      <c r="C101" s="16">
        <v>4</v>
      </c>
    </row>
    <row r="102" spans="2:3">
      <c r="B102" s="13" t="s">
        <v>79</v>
      </c>
      <c r="C102" s="16">
        <v>4</v>
      </c>
    </row>
    <row r="103" spans="2:3">
      <c r="B103" s="13" t="s">
        <v>34</v>
      </c>
      <c r="C103" s="16">
        <v>4</v>
      </c>
    </row>
    <row r="104" spans="2:3">
      <c r="B104" s="13" t="s">
        <v>100</v>
      </c>
      <c r="C104" s="16">
        <v>3</v>
      </c>
    </row>
    <row r="105" spans="2:3">
      <c r="B105" s="13" t="s">
        <v>150</v>
      </c>
      <c r="C105" s="16">
        <v>3</v>
      </c>
    </row>
    <row r="106" spans="2:3">
      <c r="B106" s="13" t="s">
        <v>134</v>
      </c>
      <c r="C106" s="16">
        <v>3</v>
      </c>
    </row>
    <row r="107" spans="2:3">
      <c r="B107" s="13" t="s">
        <v>128</v>
      </c>
      <c r="C107" s="16">
        <v>3</v>
      </c>
    </row>
    <row r="108" spans="2:3">
      <c r="B108" s="13" t="s">
        <v>104</v>
      </c>
      <c r="C108" s="16">
        <v>2</v>
      </c>
    </row>
    <row r="109" spans="2:3">
      <c r="B109" s="13" t="s">
        <v>55</v>
      </c>
      <c r="C109" s="16">
        <v>2</v>
      </c>
    </row>
    <row r="110" spans="2:3">
      <c r="B110" s="13" t="s">
        <v>35</v>
      </c>
      <c r="C110" s="16">
        <v>2</v>
      </c>
    </row>
    <row r="111" spans="2:3">
      <c r="B111" s="13" t="s">
        <v>133</v>
      </c>
      <c r="C111" s="16">
        <v>2</v>
      </c>
    </row>
    <row r="112" spans="2:3">
      <c r="B112" s="13" t="s">
        <v>29</v>
      </c>
      <c r="C112" s="16">
        <v>2</v>
      </c>
    </row>
    <row r="113" spans="2:3">
      <c r="B113" s="13" t="s">
        <v>95</v>
      </c>
      <c r="C113" s="16">
        <v>2</v>
      </c>
    </row>
    <row r="114" spans="2:3">
      <c r="B114" s="13" t="s">
        <v>38</v>
      </c>
      <c r="C114" s="16">
        <v>2</v>
      </c>
    </row>
    <row r="115" spans="2:3">
      <c r="B115" s="13" t="s">
        <v>153</v>
      </c>
      <c r="C115" s="16">
        <v>1</v>
      </c>
    </row>
    <row r="116" spans="2:3">
      <c r="B116" s="13" t="s">
        <v>152</v>
      </c>
      <c r="C116" s="16">
        <v>1</v>
      </c>
    </row>
    <row r="117" spans="2:3">
      <c r="B117" s="13" t="s">
        <v>107</v>
      </c>
      <c r="C117" s="16">
        <v>1</v>
      </c>
    </row>
    <row r="118" spans="2:3">
      <c r="B118" s="13" t="s">
        <v>144</v>
      </c>
      <c r="C118" s="16">
        <v>1</v>
      </c>
    </row>
    <row r="119" spans="2:3">
      <c r="B119" s="13" t="s">
        <v>37</v>
      </c>
      <c r="C119" s="16">
        <v>1</v>
      </c>
    </row>
    <row r="120" spans="2:3">
      <c r="B120" s="13" t="s">
        <v>154</v>
      </c>
      <c r="C120" s="16">
        <v>1</v>
      </c>
    </row>
    <row r="121" spans="2:3">
      <c r="B121" s="13" t="s">
        <v>146</v>
      </c>
      <c r="C121" s="16">
        <v>1</v>
      </c>
    </row>
    <row r="122" spans="2:3">
      <c r="B122" s="13" t="s">
        <v>145</v>
      </c>
      <c r="C122" s="16">
        <v>1</v>
      </c>
    </row>
    <row r="123" spans="2:3">
      <c r="B123" s="13" t="s">
        <v>26</v>
      </c>
      <c r="C123" s="16">
        <v>1</v>
      </c>
    </row>
    <row r="124" spans="2:3">
      <c r="B124" s="13" t="s">
        <v>151</v>
      </c>
      <c r="C124" s="16">
        <v>1</v>
      </c>
    </row>
    <row r="125" spans="2:3">
      <c r="B125" s="13" t="s">
        <v>109</v>
      </c>
      <c r="C125" s="16">
        <v>1</v>
      </c>
    </row>
    <row r="126" spans="2:3">
      <c r="B126" s="13" t="s">
        <v>181</v>
      </c>
      <c r="C126" s="16">
        <v>306</v>
      </c>
    </row>
  </sheetData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A6D1-7A46-4C74-B3A5-B1589CF6AF17}">
  <dimension ref="B2:BO148"/>
  <sheetViews>
    <sheetView topLeftCell="P102" workbookViewId="0">
      <selection activeCell="AH117" sqref="AH117"/>
    </sheetView>
  </sheetViews>
  <sheetFormatPr defaultRowHeight="15"/>
  <sheetData>
    <row r="2" spans="2:67">
      <c r="B2" s="50" t="s">
        <v>188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2"/>
    </row>
    <row r="3" spans="2:67">
      <c r="B3" s="53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5"/>
    </row>
    <row r="4" spans="2:67">
      <c r="B4" s="53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5"/>
    </row>
    <row r="5" spans="2:67">
      <c r="B5" s="53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5"/>
    </row>
    <row r="6" spans="2:67">
      <c r="B6" s="53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5"/>
    </row>
    <row r="7" spans="2:67">
      <c r="B7" s="56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8"/>
    </row>
    <row r="10" spans="2:67" ht="15" customHeight="1">
      <c r="B10" s="30" t="s">
        <v>189</v>
      </c>
      <c r="C10" s="31"/>
      <c r="D10" s="32"/>
      <c r="E10" s="30" t="s">
        <v>190</v>
      </c>
      <c r="F10" s="31"/>
      <c r="G10" s="32"/>
      <c r="H10" s="30" t="s">
        <v>191</v>
      </c>
      <c r="I10" s="31"/>
      <c r="J10" s="32"/>
      <c r="K10" s="30" t="s">
        <v>192</v>
      </c>
      <c r="L10" s="31"/>
      <c r="M10" s="32"/>
      <c r="N10" s="30" t="s">
        <v>193</v>
      </c>
      <c r="O10" s="31"/>
      <c r="P10" s="32"/>
      <c r="S10" s="30" t="s">
        <v>194</v>
      </c>
      <c r="T10" s="31"/>
      <c r="U10" s="32"/>
      <c r="V10" s="30" t="s">
        <v>195</v>
      </c>
      <c r="W10" s="31"/>
      <c r="X10" s="32"/>
      <c r="Y10" s="30" t="s">
        <v>196</v>
      </c>
      <c r="Z10" s="31"/>
      <c r="AA10" s="32"/>
      <c r="AB10" s="30" t="s">
        <v>197</v>
      </c>
      <c r="AC10" s="31"/>
      <c r="AD10" s="32"/>
      <c r="AE10" s="30" t="s">
        <v>198</v>
      </c>
      <c r="AF10" s="31"/>
      <c r="AG10" s="32"/>
      <c r="AJ10" s="30" t="s">
        <v>199</v>
      </c>
      <c r="AK10" s="31"/>
      <c r="AL10" s="32"/>
      <c r="AM10" s="30" t="s">
        <v>200</v>
      </c>
      <c r="AN10" s="31"/>
      <c r="AO10" s="32"/>
      <c r="AP10" s="30" t="s">
        <v>201</v>
      </c>
      <c r="AQ10" s="31"/>
      <c r="AR10" s="32"/>
      <c r="AS10" s="30" t="s">
        <v>202</v>
      </c>
      <c r="AT10" s="31"/>
      <c r="AU10" s="32"/>
      <c r="AV10" s="30" t="s">
        <v>203</v>
      </c>
      <c r="AW10" s="31"/>
      <c r="AX10" s="32"/>
      <c r="BA10" s="30" t="s">
        <v>204</v>
      </c>
      <c r="BB10" s="31"/>
      <c r="BC10" s="32"/>
      <c r="BD10" s="30" t="s">
        <v>205</v>
      </c>
      <c r="BE10" s="31"/>
      <c r="BF10" s="32"/>
      <c r="BG10" s="30" t="s">
        <v>206</v>
      </c>
      <c r="BH10" s="31"/>
      <c r="BI10" s="32"/>
      <c r="BJ10" s="30" t="s">
        <v>207</v>
      </c>
      <c r="BK10" s="31"/>
      <c r="BL10" s="32"/>
      <c r="BM10" s="30" t="s">
        <v>208</v>
      </c>
      <c r="BN10" s="31"/>
      <c r="BO10" s="32"/>
    </row>
    <row r="11" spans="2:67" ht="15" customHeight="1">
      <c r="B11" s="33"/>
      <c r="C11" s="34"/>
      <c r="D11" s="35"/>
      <c r="E11" s="33"/>
      <c r="F11" s="34"/>
      <c r="G11" s="35"/>
      <c r="H11" s="33"/>
      <c r="I11" s="34"/>
      <c r="J11" s="35"/>
      <c r="K11" s="33"/>
      <c r="L11" s="34"/>
      <c r="M11" s="35"/>
      <c r="N11" s="33"/>
      <c r="O11" s="34"/>
      <c r="P11" s="35"/>
      <c r="S11" s="33"/>
      <c r="T11" s="34"/>
      <c r="U11" s="35"/>
      <c r="V11" s="33"/>
      <c r="W11" s="34"/>
      <c r="X11" s="35"/>
      <c r="Y11" s="33"/>
      <c r="Z11" s="34"/>
      <c r="AA11" s="35"/>
      <c r="AB11" s="33"/>
      <c r="AC11" s="34"/>
      <c r="AD11" s="35"/>
      <c r="AE11" s="33"/>
      <c r="AF11" s="34"/>
      <c r="AG11" s="35"/>
      <c r="AJ11" s="33"/>
      <c r="AK11" s="34"/>
      <c r="AL11" s="35"/>
      <c r="AM11" s="33"/>
      <c r="AN11" s="34"/>
      <c r="AO11" s="35"/>
      <c r="AP11" s="33"/>
      <c r="AQ11" s="34"/>
      <c r="AR11" s="35"/>
      <c r="AS11" s="33"/>
      <c r="AT11" s="34"/>
      <c r="AU11" s="35"/>
      <c r="AV11" s="33"/>
      <c r="AW11" s="34"/>
      <c r="AX11" s="35"/>
      <c r="BA11" s="33"/>
      <c r="BB11" s="34"/>
      <c r="BC11" s="35"/>
      <c r="BD11" s="33"/>
      <c r="BE11" s="34"/>
      <c r="BF11" s="35"/>
      <c r="BG11" s="33"/>
      <c r="BH11" s="34"/>
      <c r="BI11" s="35"/>
      <c r="BJ11" s="33"/>
      <c r="BK11" s="34"/>
      <c r="BL11" s="35"/>
      <c r="BM11" s="33"/>
      <c r="BN11" s="34"/>
      <c r="BO11" s="35"/>
    </row>
    <row r="12" spans="2:67" ht="15" customHeight="1">
      <c r="B12" s="33"/>
      <c r="C12" s="34"/>
      <c r="D12" s="35"/>
      <c r="E12" s="33"/>
      <c r="F12" s="34"/>
      <c r="G12" s="35"/>
      <c r="H12" s="33"/>
      <c r="I12" s="34"/>
      <c r="J12" s="35"/>
      <c r="K12" s="33"/>
      <c r="L12" s="34"/>
      <c r="M12" s="35"/>
      <c r="N12" s="33"/>
      <c r="O12" s="34"/>
      <c r="P12" s="35"/>
      <c r="S12" s="33"/>
      <c r="T12" s="34"/>
      <c r="U12" s="35"/>
      <c r="V12" s="33"/>
      <c r="W12" s="34"/>
      <c r="X12" s="35"/>
      <c r="Y12" s="33"/>
      <c r="Z12" s="34"/>
      <c r="AA12" s="35"/>
      <c r="AB12" s="33"/>
      <c r="AC12" s="34"/>
      <c r="AD12" s="35"/>
      <c r="AE12" s="33"/>
      <c r="AF12" s="34"/>
      <c r="AG12" s="35"/>
      <c r="AJ12" s="33"/>
      <c r="AK12" s="34"/>
      <c r="AL12" s="35"/>
      <c r="AM12" s="33"/>
      <c r="AN12" s="34"/>
      <c r="AO12" s="35"/>
      <c r="AP12" s="33"/>
      <c r="AQ12" s="34"/>
      <c r="AR12" s="35"/>
      <c r="AS12" s="33"/>
      <c r="AT12" s="34"/>
      <c r="AU12" s="35"/>
      <c r="AV12" s="33"/>
      <c r="AW12" s="34"/>
      <c r="AX12" s="35"/>
      <c r="BA12" s="33"/>
      <c r="BB12" s="34"/>
      <c r="BC12" s="35"/>
      <c r="BD12" s="33"/>
      <c r="BE12" s="34"/>
      <c r="BF12" s="35"/>
      <c r="BG12" s="33"/>
      <c r="BH12" s="34"/>
      <c r="BI12" s="35"/>
      <c r="BJ12" s="33"/>
      <c r="BK12" s="34"/>
      <c r="BL12" s="35"/>
      <c r="BM12" s="33"/>
      <c r="BN12" s="34"/>
      <c r="BO12" s="35"/>
    </row>
    <row r="13" spans="2:67" ht="15" customHeight="1">
      <c r="B13" s="36"/>
      <c r="C13" s="37"/>
      <c r="D13" s="38"/>
      <c r="E13" s="59"/>
      <c r="F13" s="37"/>
      <c r="G13" s="38"/>
      <c r="H13" s="59"/>
      <c r="I13" s="37"/>
      <c r="J13" s="38"/>
      <c r="K13" s="59"/>
      <c r="L13" s="37"/>
      <c r="M13" s="38"/>
      <c r="N13" s="59"/>
      <c r="O13" s="37"/>
      <c r="P13" s="49"/>
      <c r="S13" s="36"/>
      <c r="T13" s="48"/>
      <c r="U13" s="49"/>
      <c r="V13" s="36"/>
      <c r="W13" s="48"/>
      <c r="X13" s="49"/>
      <c r="Y13" s="36"/>
      <c r="Z13" s="48"/>
      <c r="AA13" s="49"/>
      <c r="AB13" s="36"/>
      <c r="AC13" s="48"/>
      <c r="AD13" s="49"/>
      <c r="AE13" s="36"/>
      <c r="AF13" s="48"/>
      <c r="AG13" s="49"/>
      <c r="AJ13" s="36"/>
      <c r="AK13" s="48"/>
      <c r="AL13" s="49"/>
      <c r="AM13" s="36"/>
      <c r="AN13" s="48"/>
      <c r="AO13" s="49"/>
      <c r="AP13" s="36"/>
      <c r="AQ13" s="48"/>
      <c r="AR13" s="49"/>
      <c r="AS13" s="36"/>
      <c r="AT13" s="48"/>
      <c r="AU13" s="49"/>
      <c r="AV13" s="36"/>
      <c r="AW13" s="48"/>
      <c r="AX13" s="49"/>
      <c r="BA13" s="36"/>
      <c r="BB13" s="48"/>
      <c r="BC13" s="49"/>
      <c r="BD13" s="36"/>
      <c r="BE13" s="48"/>
      <c r="BF13" s="49"/>
      <c r="BG13" s="36"/>
      <c r="BH13" s="48"/>
      <c r="BI13" s="49"/>
      <c r="BJ13" s="36"/>
      <c r="BK13" s="48"/>
      <c r="BL13" s="49"/>
      <c r="BM13" s="36"/>
      <c r="BN13" s="48"/>
      <c r="BO13" s="49"/>
    </row>
    <row r="14" spans="2:67">
      <c r="C14" s="39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1"/>
      <c r="T14" s="39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1"/>
      <c r="AK14" s="39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1"/>
      <c r="BB14" s="39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1"/>
    </row>
    <row r="15" spans="2:67">
      <c r="C15" s="42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4"/>
      <c r="T15" s="42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4"/>
      <c r="AK15" s="42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4"/>
      <c r="BB15" s="42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4"/>
    </row>
    <row r="16" spans="2:67">
      <c r="C16" s="42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4"/>
      <c r="T16" s="42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4"/>
      <c r="AK16" s="42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4"/>
      <c r="BB16" s="42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4"/>
    </row>
    <row r="17" spans="3:66">
      <c r="C17" s="42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4"/>
      <c r="T17" s="42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4"/>
      <c r="AK17" s="42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4"/>
      <c r="BB17" s="42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4"/>
    </row>
    <row r="18" spans="3:66">
      <c r="C18" s="42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4"/>
      <c r="T18" s="42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4"/>
      <c r="AK18" s="42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4"/>
      <c r="BB18" s="42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4"/>
    </row>
    <row r="19" spans="3:66">
      <c r="C19" s="42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4"/>
      <c r="T19" s="42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4"/>
      <c r="AK19" s="42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4"/>
      <c r="BB19" s="42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4"/>
    </row>
    <row r="20" spans="3:66">
      <c r="C20" s="42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4"/>
      <c r="T20" s="42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4"/>
      <c r="AK20" s="42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4"/>
      <c r="BB20" s="42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4"/>
    </row>
    <row r="21" spans="3:66">
      <c r="C21" s="42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4"/>
      <c r="T21" s="42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4"/>
      <c r="AK21" s="42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4"/>
      <c r="BB21" s="42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4"/>
    </row>
    <row r="22" spans="3:66">
      <c r="C22" s="42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4"/>
      <c r="T22" s="42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4"/>
      <c r="AK22" s="42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4"/>
      <c r="BB22" s="42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4"/>
    </row>
    <row r="23" spans="3:66">
      <c r="C23" s="42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4"/>
      <c r="T23" s="42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4"/>
      <c r="AK23" s="42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4"/>
      <c r="BB23" s="42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4"/>
    </row>
    <row r="24" spans="3:66">
      <c r="C24" s="42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4"/>
      <c r="T24" s="42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4"/>
      <c r="AK24" s="42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4"/>
      <c r="BB24" s="42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4"/>
    </row>
    <row r="25" spans="3:66">
      <c r="C25" s="42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4"/>
      <c r="T25" s="42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4"/>
      <c r="AK25" s="42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4"/>
      <c r="BB25" s="42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4"/>
    </row>
    <row r="26" spans="3:66">
      <c r="C26" s="42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4"/>
      <c r="T26" s="42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4"/>
      <c r="AK26" s="42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4"/>
      <c r="BB26" s="42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4"/>
    </row>
    <row r="27" spans="3:66">
      <c r="C27" s="42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4"/>
      <c r="T27" s="42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4"/>
      <c r="AK27" s="42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4"/>
      <c r="BB27" s="42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4"/>
    </row>
    <row r="28" spans="3:66">
      <c r="C28" s="42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4"/>
      <c r="T28" s="42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4"/>
      <c r="AK28" s="42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4"/>
      <c r="BB28" s="42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4"/>
    </row>
    <row r="29" spans="3:66">
      <c r="C29" s="42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4"/>
      <c r="T29" s="42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4"/>
      <c r="AK29" s="42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4"/>
      <c r="BB29" s="42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4"/>
    </row>
    <row r="30" spans="3:66">
      <c r="C30" s="42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4"/>
      <c r="T30" s="42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4"/>
      <c r="AK30" s="42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4"/>
      <c r="BB30" s="42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4"/>
    </row>
    <row r="31" spans="3:66">
      <c r="C31" s="42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4"/>
      <c r="T31" s="42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4"/>
      <c r="AK31" s="42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4"/>
      <c r="BB31" s="42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4"/>
    </row>
    <row r="32" spans="3:66">
      <c r="C32" s="42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4"/>
      <c r="T32" s="42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4"/>
      <c r="AK32" s="42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4"/>
      <c r="BB32" s="42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4"/>
    </row>
    <row r="33" spans="3:66">
      <c r="C33" s="45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7"/>
      <c r="T33" s="45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7"/>
      <c r="AK33" s="45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7"/>
      <c r="BB33" s="45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7"/>
    </row>
    <row r="36" spans="3:66">
      <c r="C36" s="39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1"/>
      <c r="T36" s="39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1"/>
      <c r="AK36" s="39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1"/>
      <c r="BB36" s="39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1"/>
    </row>
    <row r="37" spans="3:66">
      <c r="C37" s="42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4"/>
      <c r="T37" s="42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4"/>
      <c r="AK37" s="42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4"/>
      <c r="BB37" s="42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4"/>
    </row>
    <row r="38" spans="3:66">
      <c r="C38" s="42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4"/>
      <c r="T38" s="42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4"/>
      <c r="AK38" s="42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4"/>
      <c r="BB38" s="42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4"/>
    </row>
    <row r="39" spans="3:66">
      <c r="C39" s="42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4"/>
      <c r="T39" s="42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4"/>
      <c r="AK39" s="42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4"/>
      <c r="BB39" s="42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4"/>
    </row>
    <row r="40" spans="3:66">
      <c r="C40" s="42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4"/>
      <c r="T40" s="42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4"/>
      <c r="AK40" s="42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4"/>
      <c r="BB40" s="42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4"/>
    </row>
    <row r="41" spans="3:66">
      <c r="C41" s="42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4"/>
      <c r="T41" s="42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4"/>
      <c r="AK41" s="42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4"/>
      <c r="BB41" s="42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4"/>
    </row>
    <row r="42" spans="3:66">
      <c r="C42" s="42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4"/>
      <c r="T42" s="42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4"/>
      <c r="AK42" s="42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4"/>
      <c r="BB42" s="42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4"/>
    </row>
    <row r="43" spans="3:66">
      <c r="C43" s="42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4"/>
      <c r="T43" s="42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4"/>
      <c r="AK43" s="42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4"/>
      <c r="BB43" s="42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4"/>
    </row>
    <row r="44" spans="3:66">
      <c r="C44" s="42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4"/>
      <c r="T44" s="42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4"/>
      <c r="AK44" s="42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4"/>
      <c r="BB44" s="42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4"/>
    </row>
    <row r="45" spans="3:66">
      <c r="C45" s="42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4"/>
      <c r="T45" s="42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4"/>
      <c r="AK45" s="42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4"/>
      <c r="BB45" s="42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4"/>
    </row>
    <row r="46" spans="3:66">
      <c r="C46" s="42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4"/>
      <c r="T46" s="42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4"/>
      <c r="AK46" s="42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4"/>
      <c r="BB46" s="42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4"/>
    </row>
    <row r="47" spans="3:66">
      <c r="C47" s="42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4"/>
      <c r="T47" s="42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4"/>
      <c r="AK47" s="42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4"/>
      <c r="BB47" s="42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4"/>
    </row>
    <row r="48" spans="3:66">
      <c r="C48" s="42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4"/>
      <c r="T48" s="42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4"/>
      <c r="AK48" s="42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4"/>
      <c r="BB48" s="42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4"/>
    </row>
    <row r="49" spans="3:66">
      <c r="C49" s="42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4"/>
      <c r="T49" s="42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4"/>
      <c r="AK49" s="42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4"/>
      <c r="BB49" s="42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4"/>
    </row>
    <row r="50" spans="3:66">
      <c r="C50" s="42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4"/>
      <c r="T50" s="42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4"/>
      <c r="AK50" s="42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4"/>
      <c r="BB50" s="42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4"/>
    </row>
    <row r="51" spans="3:66">
      <c r="C51" s="42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4"/>
      <c r="T51" s="42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4"/>
      <c r="AK51" s="42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4"/>
      <c r="BB51" s="42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4"/>
    </row>
    <row r="52" spans="3:66">
      <c r="C52" s="42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4"/>
      <c r="T52" s="42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4"/>
      <c r="AK52" s="42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4"/>
      <c r="BB52" s="42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4"/>
    </row>
    <row r="53" spans="3:66">
      <c r="C53" s="42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4"/>
      <c r="T53" s="42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4"/>
      <c r="AK53" s="42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4"/>
      <c r="BB53" s="42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4"/>
    </row>
    <row r="54" spans="3:66">
      <c r="C54" s="42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4"/>
      <c r="T54" s="42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4"/>
      <c r="AK54" s="42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4"/>
      <c r="BB54" s="42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4"/>
    </row>
    <row r="55" spans="3:66">
      <c r="C55" s="45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7"/>
      <c r="T55" s="45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7"/>
      <c r="AK55" s="45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7"/>
      <c r="BB55" s="45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7"/>
    </row>
    <row r="58" spans="3:66">
      <c r="C58" s="39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1"/>
      <c r="T58" s="39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1"/>
      <c r="AK58" s="39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1"/>
      <c r="BB58" s="39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1"/>
    </row>
    <row r="59" spans="3:66">
      <c r="C59" s="42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4"/>
      <c r="T59" s="42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4"/>
      <c r="AK59" s="42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4"/>
      <c r="BB59" s="42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4"/>
    </row>
    <row r="60" spans="3:66">
      <c r="C60" s="42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4"/>
      <c r="T60" s="42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4"/>
      <c r="AK60" s="42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4"/>
      <c r="BB60" s="42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4"/>
    </row>
    <row r="61" spans="3:66">
      <c r="C61" s="42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4"/>
      <c r="T61" s="42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4"/>
      <c r="AK61" s="42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4"/>
      <c r="BB61" s="42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4"/>
    </row>
    <row r="62" spans="3:66">
      <c r="C62" s="42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4"/>
      <c r="T62" s="42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4"/>
      <c r="AK62" s="42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4"/>
      <c r="BB62" s="42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4"/>
    </row>
    <row r="63" spans="3:66">
      <c r="C63" s="42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4"/>
      <c r="T63" s="42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4"/>
      <c r="AK63" s="42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4"/>
      <c r="BB63" s="42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4"/>
    </row>
    <row r="64" spans="3:66">
      <c r="C64" s="42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4"/>
      <c r="T64" s="42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4"/>
      <c r="AK64" s="42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4"/>
      <c r="BB64" s="42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4"/>
    </row>
    <row r="65" spans="3:66">
      <c r="C65" s="42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4"/>
      <c r="T65" s="42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4"/>
      <c r="AK65" s="42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4"/>
      <c r="BB65" s="42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4"/>
    </row>
    <row r="66" spans="3:66">
      <c r="C66" s="42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4"/>
      <c r="T66" s="42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4"/>
      <c r="AK66" s="42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4"/>
      <c r="BB66" s="42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4"/>
    </row>
    <row r="67" spans="3:66">
      <c r="C67" s="42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4"/>
      <c r="T67" s="42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4"/>
      <c r="AK67" s="42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4"/>
      <c r="BB67" s="42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4"/>
    </row>
    <row r="68" spans="3:66">
      <c r="C68" s="42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4"/>
      <c r="T68" s="42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4"/>
      <c r="AK68" s="42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4"/>
      <c r="BB68" s="42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4"/>
    </row>
    <row r="69" spans="3:66">
      <c r="C69" s="42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4"/>
      <c r="T69" s="42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4"/>
      <c r="AK69" s="42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4"/>
      <c r="BB69" s="42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4"/>
    </row>
    <row r="70" spans="3:66">
      <c r="C70" s="42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4"/>
      <c r="T70" s="42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4"/>
      <c r="AK70" s="42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4"/>
      <c r="BB70" s="42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4"/>
    </row>
    <row r="71" spans="3:66">
      <c r="C71" s="42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4"/>
      <c r="T71" s="42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4"/>
      <c r="AK71" s="42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4"/>
      <c r="BB71" s="42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4"/>
    </row>
    <row r="72" spans="3:66">
      <c r="C72" s="42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4"/>
      <c r="T72" s="42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4"/>
      <c r="AK72" s="42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4"/>
      <c r="BB72" s="42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4"/>
    </row>
    <row r="73" spans="3:66">
      <c r="C73" s="42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4"/>
      <c r="T73" s="42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4"/>
      <c r="AK73" s="42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4"/>
      <c r="BB73" s="42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4"/>
    </row>
    <row r="74" spans="3:66">
      <c r="C74" s="42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4"/>
      <c r="T74" s="42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4"/>
      <c r="AK74" s="42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4"/>
      <c r="BB74" s="42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4"/>
    </row>
    <row r="75" spans="3:66">
      <c r="C75" s="42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4"/>
      <c r="T75" s="42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4"/>
      <c r="AK75" s="42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4"/>
      <c r="BB75" s="42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4"/>
    </row>
    <row r="76" spans="3:66">
      <c r="C76" s="42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4"/>
      <c r="T76" s="42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4"/>
      <c r="AK76" s="42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4"/>
      <c r="BB76" s="42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4"/>
    </row>
    <row r="77" spans="3:66">
      <c r="C77" s="45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7"/>
      <c r="T77" s="45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7"/>
      <c r="AK77" s="45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7"/>
      <c r="BB77" s="45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7"/>
    </row>
    <row r="81" spans="2:33" ht="18.75" customHeight="1">
      <c r="B81" s="30" t="s">
        <v>209</v>
      </c>
      <c r="C81" s="31"/>
      <c r="D81" s="32"/>
      <c r="E81" s="30" t="s">
        <v>210</v>
      </c>
      <c r="F81" s="31"/>
      <c r="G81" s="32"/>
      <c r="H81" s="30" t="s">
        <v>211</v>
      </c>
      <c r="I81" s="31"/>
      <c r="J81" s="32"/>
      <c r="K81" s="30" t="s">
        <v>212</v>
      </c>
      <c r="L81" s="31"/>
      <c r="M81" s="32"/>
      <c r="N81" s="30" t="s">
        <v>213</v>
      </c>
      <c r="O81" s="31"/>
      <c r="P81" s="32"/>
      <c r="S81" s="30" t="s">
        <v>214</v>
      </c>
      <c r="T81" s="31"/>
      <c r="U81" s="32"/>
      <c r="V81" s="30" t="s">
        <v>215</v>
      </c>
      <c r="W81" s="31"/>
      <c r="X81" s="32"/>
      <c r="Y81" s="30" t="s">
        <v>216</v>
      </c>
      <c r="Z81" s="31"/>
      <c r="AA81" s="32"/>
      <c r="AB81" s="30" t="s">
        <v>217</v>
      </c>
      <c r="AC81" s="31"/>
      <c r="AD81" s="32"/>
      <c r="AE81" s="30" t="s">
        <v>218</v>
      </c>
      <c r="AF81" s="31"/>
      <c r="AG81" s="32"/>
    </row>
    <row r="82" spans="2:33" ht="15" customHeight="1">
      <c r="B82" s="33"/>
      <c r="C82" s="34"/>
      <c r="D82" s="35"/>
      <c r="E82" s="33"/>
      <c r="F82" s="34"/>
      <c r="G82" s="35"/>
      <c r="H82" s="33"/>
      <c r="I82" s="34"/>
      <c r="J82" s="35"/>
      <c r="K82" s="33"/>
      <c r="L82" s="34"/>
      <c r="M82" s="35"/>
      <c r="N82" s="33"/>
      <c r="O82" s="34"/>
      <c r="P82" s="35"/>
      <c r="S82" s="33"/>
      <c r="T82" s="34"/>
      <c r="U82" s="35"/>
      <c r="V82" s="33"/>
      <c r="W82" s="34"/>
      <c r="X82" s="35"/>
      <c r="Y82" s="33"/>
      <c r="Z82" s="34"/>
      <c r="AA82" s="35"/>
      <c r="AB82" s="33"/>
      <c r="AC82" s="34"/>
      <c r="AD82" s="35"/>
      <c r="AE82" s="33"/>
      <c r="AF82" s="34"/>
      <c r="AG82" s="35"/>
    </row>
    <row r="83" spans="2:33" ht="15" customHeight="1">
      <c r="B83" s="33"/>
      <c r="C83" s="34"/>
      <c r="D83" s="35"/>
      <c r="E83" s="33"/>
      <c r="F83" s="34"/>
      <c r="G83" s="35"/>
      <c r="H83" s="33"/>
      <c r="I83" s="34"/>
      <c r="J83" s="35"/>
      <c r="K83" s="33"/>
      <c r="L83" s="34"/>
      <c r="M83" s="35"/>
      <c r="N83" s="33"/>
      <c r="O83" s="34"/>
      <c r="P83" s="35"/>
      <c r="S83" s="33"/>
      <c r="T83" s="34"/>
      <c r="U83" s="35"/>
      <c r="V83" s="33"/>
      <c r="W83" s="34"/>
      <c r="X83" s="35"/>
      <c r="Y83" s="33"/>
      <c r="Z83" s="34"/>
      <c r="AA83" s="35"/>
      <c r="AB83" s="33"/>
      <c r="AC83" s="34"/>
      <c r="AD83" s="35"/>
      <c r="AE83" s="33"/>
      <c r="AF83" s="34"/>
      <c r="AG83" s="35"/>
    </row>
    <row r="84" spans="2:33" ht="15" customHeight="1">
      <c r="B84" s="36"/>
      <c r="C84" s="37"/>
      <c r="D84" s="38"/>
      <c r="E84" s="36"/>
      <c r="F84" s="37"/>
      <c r="G84" s="38"/>
      <c r="H84" s="36"/>
      <c r="I84" s="37"/>
      <c r="J84" s="38"/>
      <c r="K84" s="36"/>
      <c r="L84" s="37"/>
      <c r="M84" s="38"/>
      <c r="N84" s="36"/>
      <c r="O84" s="37"/>
      <c r="P84" s="38"/>
      <c r="S84" s="36"/>
      <c r="T84" s="37"/>
      <c r="U84" s="38"/>
      <c r="V84" s="36"/>
      <c r="W84" s="37"/>
      <c r="X84" s="38"/>
      <c r="Y84" s="36"/>
      <c r="Z84" s="37"/>
      <c r="AA84" s="38"/>
      <c r="AB84" s="36"/>
      <c r="AC84" s="37"/>
      <c r="AD84" s="38"/>
      <c r="AE84" s="36"/>
      <c r="AF84" s="37"/>
      <c r="AG84" s="38"/>
    </row>
    <row r="85" spans="2:33">
      <c r="C85" s="39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1"/>
      <c r="T85" s="39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1"/>
    </row>
    <row r="86" spans="2:33">
      <c r="C86" s="42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4"/>
      <c r="T86" s="42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4"/>
    </row>
    <row r="87" spans="2:33">
      <c r="C87" s="42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4"/>
      <c r="T87" s="42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4"/>
    </row>
    <row r="88" spans="2:33">
      <c r="C88" s="42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4"/>
      <c r="T88" s="42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4"/>
    </row>
    <row r="89" spans="2:33">
      <c r="C89" s="42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4"/>
      <c r="T89" s="42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4"/>
    </row>
    <row r="90" spans="2:33">
      <c r="C90" s="42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4"/>
      <c r="T90" s="42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4"/>
    </row>
    <row r="91" spans="2:33">
      <c r="C91" s="42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4"/>
      <c r="T91" s="42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4"/>
    </row>
    <row r="92" spans="2:33">
      <c r="C92" s="42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4"/>
      <c r="T92" s="42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4"/>
    </row>
    <row r="93" spans="2:33">
      <c r="C93" s="42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4"/>
      <c r="T93" s="42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4"/>
    </row>
    <row r="94" spans="2:33">
      <c r="C94" s="42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4"/>
      <c r="T94" s="42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4"/>
    </row>
    <row r="95" spans="2:33">
      <c r="C95" s="42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4"/>
      <c r="T95" s="42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4"/>
    </row>
    <row r="96" spans="2:33">
      <c r="C96" s="42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4"/>
      <c r="T96" s="42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4"/>
    </row>
    <row r="97" spans="3:32">
      <c r="C97" s="42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4"/>
      <c r="T97" s="42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4"/>
    </row>
    <row r="98" spans="3:32">
      <c r="C98" s="42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4"/>
      <c r="T98" s="42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4"/>
    </row>
    <row r="99" spans="3:32">
      <c r="C99" s="42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4"/>
      <c r="T99" s="42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4"/>
    </row>
    <row r="100" spans="3:32">
      <c r="C100" s="42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4"/>
      <c r="T100" s="42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4"/>
    </row>
    <row r="101" spans="3:32">
      <c r="C101" s="42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4"/>
      <c r="T101" s="42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4"/>
    </row>
    <row r="102" spans="3:32">
      <c r="C102" s="42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4"/>
      <c r="T102" s="42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4"/>
    </row>
    <row r="103" spans="3:32">
      <c r="C103" s="42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4"/>
      <c r="T103" s="42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4"/>
    </row>
    <row r="104" spans="3:32">
      <c r="C104" s="45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7"/>
      <c r="T104" s="45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7"/>
    </row>
    <row r="107" spans="3:32">
      <c r="C107" s="39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1"/>
      <c r="T107" s="39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1"/>
    </row>
    <row r="108" spans="3:32">
      <c r="C108" s="42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4"/>
      <c r="T108" s="42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4"/>
    </row>
    <row r="109" spans="3:32">
      <c r="C109" s="42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4"/>
      <c r="T109" s="42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4"/>
    </row>
    <row r="110" spans="3:32">
      <c r="C110" s="42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4"/>
      <c r="T110" s="42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4"/>
    </row>
    <row r="111" spans="3:32">
      <c r="C111" s="42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4"/>
      <c r="T111" s="42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4"/>
    </row>
    <row r="112" spans="3:32">
      <c r="C112" s="42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4"/>
      <c r="T112" s="42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4"/>
    </row>
    <row r="113" spans="3:32">
      <c r="C113" s="42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4"/>
      <c r="T113" s="42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4"/>
    </row>
    <row r="114" spans="3:32">
      <c r="C114" s="42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4"/>
      <c r="T114" s="42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4"/>
    </row>
    <row r="115" spans="3:32">
      <c r="C115" s="42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4"/>
      <c r="T115" s="42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4"/>
    </row>
    <row r="116" spans="3:32">
      <c r="C116" s="42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4"/>
      <c r="T116" s="42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4"/>
    </row>
    <row r="117" spans="3:32">
      <c r="C117" s="42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4"/>
      <c r="T117" s="42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4"/>
    </row>
    <row r="118" spans="3:32">
      <c r="C118" s="42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4"/>
      <c r="T118" s="42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4"/>
    </row>
    <row r="119" spans="3:32">
      <c r="C119" s="42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4"/>
      <c r="T119" s="42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4"/>
    </row>
    <row r="120" spans="3:32">
      <c r="C120" s="42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4"/>
      <c r="T120" s="42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4"/>
    </row>
    <row r="121" spans="3:32">
      <c r="C121" s="42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4"/>
      <c r="T121" s="42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4"/>
    </row>
    <row r="122" spans="3:32">
      <c r="C122" s="42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4"/>
      <c r="T122" s="42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4"/>
    </row>
    <row r="123" spans="3:32">
      <c r="C123" s="42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4"/>
      <c r="T123" s="42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4"/>
    </row>
    <row r="124" spans="3:32">
      <c r="C124" s="42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4"/>
      <c r="T124" s="42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4"/>
    </row>
    <row r="125" spans="3:32">
      <c r="C125" s="42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4"/>
      <c r="T125" s="42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4"/>
    </row>
    <row r="126" spans="3:32">
      <c r="C126" s="45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7"/>
      <c r="T126" s="45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7"/>
    </row>
    <row r="129" spans="3:32">
      <c r="C129" s="39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1"/>
      <c r="T129" s="39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1"/>
    </row>
    <row r="130" spans="3:32">
      <c r="C130" s="42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4"/>
      <c r="T130" s="42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4"/>
    </row>
    <row r="131" spans="3:32">
      <c r="C131" s="42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4"/>
      <c r="T131" s="42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4"/>
    </row>
    <row r="132" spans="3:32">
      <c r="C132" s="42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4"/>
      <c r="T132" s="42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4"/>
    </row>
    <row r="133" spans="3:32">
      <c r="C133" s="42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4"/>
      <c r="T133" s="42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4"/>
    </row>
    <row r="134" spans="3:32">
      <c r="C134" s="42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4"/>
      <c r="T134" s="42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4"/>
    </row>
    <row r="135" spans="3:32">
      <c r="C135" s="42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4"/>
      <c r="T135" s="42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4"/>
    </row>
    <row r="136" spans="3:32">
      <c r="C136" s="42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4"/>
      <c r="T136" s="42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4"/>
    </row>
    <row r="137" spans="3:32">
      <c r="C137" s="42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4"/>
      <c r="T137" s="42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4"/>
    </row>
    <row r="138" spans="3:32">
      <c r="C138" s="42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4"/>
      <c r="T138" s="42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4"/>
    </row>
    <row r="139" spans="3:32">
      <c r="C139" s="42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4"/>
      <c r="T139" s="42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4"/>
    </row>
    <row r="140" spans="3:32">
      <c r="C140" s="42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4"/>
      <c r="T140" s="42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4"/>
    </row>
    <row r="141" spans="3:32">
      <c r="C141" s="42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4"/>
      <c r="T141" s="42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4"/>
    </row>
    <row r="142" spans="3:32">
      <c r="C142" s="42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4"/>
      <c r="T142" s="42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4"/>
    </row>
    <row r="143" spans="3:32">
      <c r="C143" s="42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4"/>
      <c r="T143" s="42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4"/>
    </row>
    <row r="144" spans="3:32">
      <c r="C144" s="42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4"/>
      <c r="T144" s="42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4"/>
    </row>
    <row r="145" spans="3:32">
      <c r="C145" s="42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4"/>
      <c r="T145" s="42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4"/>
    </row>
    <row r="146" spans="3:32">
      <c r="C146" s="42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4"/>
      <c r="T146" s="42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4"/>
    </row>
    <row r="147" spans="3:32">
      <c r="C147" s="42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4"/>
      <c r="T147" s="42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4"/>
    </row>
    <row r="148" spans="3:32">
      <c r="C148" s="45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7"/>
      <c r="T148" s="45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7"/>
    </row>
  </sheetData>
  <mergeCells count="49">
    <mergeCell ref="AK36:AW55"/>
    <mergeCell ref="BB36:BN55"/>
    <mergeCell ref="AK58:AW77"/>
    <mergeCell ref="BB58:BN77"/>
    <mergeCell ref="BJ10:BL13"/>
    <mergeCell ref="BM10:BO13"/>
    <mergeCell ref="AK14:AW33"/>
    <mergeCell ref="BB14:BN33"/>
    <mergeCell ref="AP10:AR13"/>
    <mergeCell ref="AS10:AU13"/>
    <mergeCell ref="AV10:AX13"/>
    <mergeCell ref="BA10:BC13"/>
    <mergeCell ref="BD10:BF13"/>
    <mergeCell ref="BG10:BI13"/>
    <mergeCell ref="AM10:AO13"/>
    <mergeCell ref="C14:O33"/>
    <mergeCell ref="C36:O55"/>
    <mergeCell ref="C58:O77"/>
    <mergeCell ref="T14:AF33"/>
    <mergeCell ref="T36:AF55"/>
    <mergeCell ref="T58:AF77"/>
    <mergeCell ref="V10:X13"/>
    <mergeCell ref="Y10:AA13"/>
    <mergeCell ref="AB10:AD13"/>
    <mergeCell ref="AE10:AG13"/>
    <mergeCell ref="AJ10:AL13"/>
    <mergeCell ref="S10:U13"/>
    <mergeCell ref="B2:R7"/>
    <mergeCell ref="B10:D13"/>
    <mergeCell ref="E10:G13"/>
    <mergeCell ref="H10:J13"/>
    <mergeCell ref="K10:M13"/>
    <mergeCell ref="N10:P13"/>
    <mergeCell ref="B81:D84"/>
    <mergeCell ref="E81:G84"/>
    <mergeCell ref="H81:J84"/>
    <mergeCell ref="K81:M84"/>
    <mergeCell ref="N81:P84"/>
    <mergeCell ref="C107:O126"/>
    <mergeCell ref="C129:O148"/>
    <mergeCell ref="T85:AF104"/>
    <mergeCell ref="T107:AF126"/>
    <mergeCell ref="T129:AF148"/>
    <mergeCell ref="C85:O104"/>
    <mergeCell ref="S81:U84"/>
    <mergeCell ref="V81:X84"/>
    <mergeCell ref="Y81:AA84"/>
    <mergeCell ref="AB81:AD84"/>
    <mergeCell ref="AE81:AG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Modassir</cp:lastModifiedBy>
  <cp:revision/>
  <dcterms:created xsi:type="dcterms:W3CDTF">2026-08-02T16:59:29Z</dcterms:created>
  <dcterms:modified xsi:type="dcterms:W3CDTF">2026-09-27T14:23:56Z</dcterms:modified>
  <cp:category/>
  <cp:contentStatus/>
</cp:coreProperties>
</file>