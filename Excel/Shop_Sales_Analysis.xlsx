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hidePivotFieldList="1" defaultThemeVersion="166925"/>
  <xr:revisionPtr revIDLastSave="1313" documentId="11_E60897F41BE170836B02CE998F75CCDC64E183C8" xr6:coauthVersionLast="47" xr6:coauthVersionMax="47" xr10:uidLastSave="{CF4E32F6-1293-43DA-8861-B4F3457E02D4}"/>
  <bookViews>
    <workbookView xWindow="240" yWindow="105" windowWidth="14805" windowHeight="8010" firstSheet="2" activeTab="1" xr2:uid="{00000000-000D-0000-FFFF-FFFF00000000}"/>
  </bookViews>
  <sheets>
    <sheet name="Cover_Page" sheetId="2" r:id="rId1"/>
    <sheet name="Raw_Data" sheetId="5" r:id="rId2"/>
    <sheet name="Pivot_Analysis - Week - 1" sheetId="7" r:id="rId3"/>
    <sheet name="Dashboard" sheetId="4" r:id="rId4"/>
  </sheets>
  <calcPr calcId="191028"/>
  <pivotCaches>
    <pivotCache cacheId="27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G57" i="5"/>
  <c r="G58" i="5"/>
  <c r="H57" i="5"/>
  <c r="H58" i="5"/>
  <c r="H3" i="5"/>
  <c r="H56" i="5"/>
  <c r="G56" i="5"/>
  <c r="H55" i="5"/>
  <c r="G55" i="5"/>
  <c r="H54" i="5"/>
  <c r="G54" i="5"/>
  <c r="H53" i="5"/>
  <c r="G53" i="5"/>
  <c r="H52" i="5"/>
  <c r="G52" i="5"/>
  <c r="H51" i="5"/>
  <c r="G51" i="5"/>
  <c r="H50" i="5"/>
  <c r="G50" i="5"/>
  <c r="H49" i="5"/>
  <c r="G49" i="5"/>
  <c r="H48" i="5"/>
  <c r="G48" i="5"/>
  <c r="H47" i="5"/>
  <c r="G47" i="5"/>
  <c r="H46" i="5"/>
  <c r="G46" i="5"/>
  <c r="H45" i="5"/>
  <c r="G45" i="5"/>
  <c r="H44" i="5"/>
  <c r="G44" i="5"/>
  <c r="H43" i="5"/>
  <c r="G43" i="5"/>
  <c r="H42" i="5"/>
  <c r="G42" i="5"/>
  <c r="H41" i="5"/>
  <c r="G41" i="5"/>
  <c r="H40" i="5"/>
  <c r="G40" i="5"/>
  <c r="H39" i="5"/>
  <c r="G39" i="5"/>
  <c r="H38" i="5"/>
  <c r="G38" i="5"/>
  <c r="H37" i="5"/>
  <c r="G37" i="5"/>
  <c r="H36" i="5"/>
  <c r="G36" i="5"/>
  <c r="H35" i="5"/>
  <c r="G35" i="5"/>
  <c r="H34" i="5"/>
  <c r="G34" i="5"/>
  <c r="H33" i="5"/>
  <c r="G33" i="5"/>
  <c r="H32" i="5"/>
  <c r="G32" i="5"/>
  <c r="H31" i="5"/>
  <c r="G31" i="5"/>
  <c r="H30" i="5"/>
  <c r="G30" i="5"/>
  <c r="H29" i="5"/>
  <c r="G29" i="5"/>
  <c r="H28" i="5"/>
  <c r="G28" i="5"/>
  <c r="H27" i="5"/>
  <c r="G27" i="5"/>
  <c r="H26" i="5"/>
  <c r="G26" i="5"/>
  <c r="H25" i="5"/>
  <c r="G25" i="5"/>
  <c r="H24" i="5"/>
  <c r="G24" i="5"/>
  <c r="H23" i="5"/>
  <c r="G23" i="5"/>
  <c r="H22" i="5"/>
  <c r="G22" i="5"/>
  <c r="H21" i="5"/>
  <c r="G21" i="5"/>
  <c r="H20" i="5"/>
  <c r="G20" i="5"/>
  <c r="H19" i="5"/>
  <c r="G19" i="5"/>
  <c r="H18" i="5"/>
  <c r="G18" i="5"/>
  <c r="H17" i="5"/>
  <c r="G17" i="5"/>
  <c r="H16" i="5"/>
  <c r="G16" i="5"/>
  <c r="H15" i="5"/>
  <c r="G15" i="5"/>
  <c r="H14" i="5"/>
  <c r="G14" i="5"/>
  <c r="H13" i="5"/>
  <c r="G13" i="5"/>
  <c r="H12" i="5"/>
  <c r="G12" i="5"/>
  <c r="H11" i="5"/>
  <c r="G11" i="5"/>
  <c r="H10" i="5"/>
  <c r="G10" i="5"/>
  <c r="H9" i="5"/>
  <c r="G9" i="5"/>
  <c r="H8" i="5"/>
  <c r="G8" i="5"/>
  <c r="H7" i="5"/>
  <c r="G7" i="5"/>
  <c r="H6" i="5"/>
  <c r="G6" i="5"/>
  <c r="H5" i="5"/>
  <c r="G5" i="5"/>
  <c r="H4" i="5"/>
  <c r="G4" i="5"/>
  <c r="G3" i="5"/>
</calcChain>
</file>

<file path=xl/sharedStrings.xml><?xml version="1.0" encoding="utf-8"?>
<sst xmlns="http://schemas.openxmlformats.org/spreadsheetml/2006/main" count="213" uniqueCount="89">
  <si>
    <r>
      <rPr>
        <b/>
        <sz val="19"/>
        <color theme="0"/>
        <rFont val="Calibri"/>
        <scheme val="minor"/>
      </rPr>
      <t xml:space="preserve">SHOP SALES ANALYSIS REPORT
</t>
    </r>
    <r>
      <rPr>
        <b/>
        <sz val="18"/>
        <color theme="0"/>
        <rFont val="Calibri"/>
        <scheme val="minor"/>
      </rPr>
      <t>Weekly Sales &amp; Profit Performance</t>
    </r>
  </si>
  <si>
    <r>
      <rPr>
        <b/>
        <sz val="13"/>
        <color rgb="FF1F4E78"/>
        <rFont val="Calibri"/>
        <scheme val="minor"/>
      </rPr>
      <t xml:space="preserve">Prepared By :
</t>
    </r>
    <r>
      <rPr>
        <sz val="13"/>
        <color rgb="FF000000"/>
        <rFont val="Calibri"/>
        <scheme val="minor"/>
      </rPr>
      <t xml:space="preserve">Md Modassir
</t>
    </r>
    <r>
      <rPr>
        <sz val="13"/>
        <color rgb="FF1F4E78"/>
        <rFont val="Calibri"/>
        <scheme val="minor"/>
      </rPr>
      <t xml:space="preserve">
</t>
    </r>
    <r>
      <rPr>
        <b/>
        <sz val="13"/>
        <color rgb="FF1F4E78"/>
        <rFont val="Calibri"/>
        <scheme val="minor"/>
      </rPr>
      <t xml:space="preserve">Tools : 
</t>
    </r>
    <r>
      <rPr>
        <sz val="13"/>
        <color rgb="FF000000"/>
        <rFont val="Calibri"/>
        <scheme val="minor"/>
      </rPr>
      <t xml:space="preserve">Microsoft Excel
</t>
    </r>
    <r>
      <rPr>
        <b/>
        <sz val="13"/>
        <color rgb="FF1F4E78"/>
        <rFont val="Calibri"/>
        <scheme val="minor"/>
      </rPr>
      <t xml:space="preserve">
Objective : 
</t>
    </r>
    <r>
      <rPr>
        <sz val="13"/>
        <color rgb="FF000000"/>
        <rFont val="Calibri"/>
        <scheme val="minor"/>
      </rPr>
      <t xml:space="preserve">Analyze weekly sales and profit trends.
Idetify top-performing products.
Evaluate overall weekly business performance.
</t>
    </r>
    <r>
      <rPr>
        <b/>
        <sz val="13"/>
        <color rgb="FF1F4E78"/>
        <rFont val="Calibri"/>
        <scheme val="minor"/>
      </rPr>
      <t xml:space="preserve">
Data Source : 
</t>
    </r>
    <r>
      <rPr>
        <sz val="13"/>
        <color rgb="FF000000"/>
        <rFont val="Calibri"/>
        <scheme val="minor"/>
      </rPr>
      <t>Real Shop Sales Record.</t>
    </r>
  </si>
  <si>
    <t>WEEK 1: 03 Aug 2026 - 09 Aug 2026</t>
  </si>
  <si>
    <t>WEEK 2: 10 Aug 2026 - 16 Aug 2026</t>
  </si>
  <si>
    <t>WEEK 3: 17 Aug 2026 - 23 Aug 2026</t>
  </si>
  <si>
    <t>WEEK 4: 24 Aug 2026 - 30 Aug 2026</t>
  </si>
  <si>
    <t>Total Profit:
Best Day:
Top Product</t>
  </si>
  <si>
    <t>WEEK 5: 31 Aug 2026 - 06 Sep 2026</t>
  </si>
  <si>
    <t>WEEK 6: 07 Sep 2026 - 13 Sep 2026</t>
  </si>
  <si>
    <t>WEEK 7: 13 Sep 2026 - 19 Sep 2026</t>
  </si>
  <si>
    <t>WEEK 8: 20 Sep 2026 - 26 Sep 2026</t>
  </si>
  <si>
    <t>Date</t>
  </si>
  <si>
    <t>Product</t>
  </si>
  <si>
    <t>Quantity</t>
  </si>
  <si>
    <t>Sell_Price</t>
  </si>
  <si>
    <t>Cost_Price</t>
  </si>
  <si>
    <t>Profit</t>
  </si>
  <si>
    <t>Day</t>
  </si>
  <si>
    <t>Week</t>
  </si>
  <si>
    <t>1" Pipe</t>
  </si>
  <si>
    <t>Loose Pipe</t>
  </si>
  <si>
    <t>1" Ball Valve</t>
  </si>
  <si>
    <t>Handpump</t>
  </si>
  <si>
    <t>Solvent 10ml</t>
  </si>
  <si>
    <t>Aree Blade</t>
  </si>
  <si>
    <t>Shower</t>
  </si>
  <si>
    <t>Tap</t>
  </si>
  <si>
    <t>3" Bocket</t>
  </si>
  <si>
    <t>4" Pipe</t>
  </si>
  <si>
    <t>4" Coupler</t>
  </si>
  <si>
    <t>4" Band</t>
  </si>
  <si>
    <t>4" Tee</t>
  </si>
  <si>
    <t>Solvent PVC</t>
  </si>
  <si>
    <t>M-Seal</t>
  </si>
  <si>
    <t>Tank Cover</t>
  </si>
  <si>
    <t>3" Pipe</t>
  </si>
  <si>
    <t>3" Coupler</t>
  </si>
  <si>
    <t>3" Band</t>
  </si>
  <si>
    <t>3" Tee</t>
  </si>
  <si>
    <t>3" Hook</t>
  </si>
  <si>
    <t>3" End Cap</t>
  </si>
  <si>
    <t>Angle Cock</t>
  </si>
  <si>
    <t>Connection Pipe</t>
  </si>
  <si>
    <t>Stand Besin</t>
  </si>
  <si>
    <t>Waste Pipe</t>
  </si>
  <si>
    <t>1/2"x12" Nepul</t>
  </si>
  <si>
    <t>White Cement</t>
  </si>
  <si>
    <t>1" Elbow</t>
  </si>
  <si>
    <t>1" Coupler</t>
  </si>
  <si>
    <t>Solvent</t>
  </si>
  <si>
    <t>PVC Hook</t>
  </si>
  <si>
    <t>Flusher</t>
  </si>
  <si>
    <t>Fan Hook</t>
  </si>
  <si>
    <t>4" Blade</t>
  </si>
  <si>
    <t>Long Tap</t>
  </si>
  <si>
    <t>1/2" Pipe</t>
  </si>
  <si>
    <t>5" Syphan</t>
  </si>
  <si>
    <t>1"x4" Nepul</t>
  </si>
  <si>
    <t>1½"x3/4" Rodiser</t>
  </si>
  <si>
    <t>1½"x6" Nepul</t>
  </si>
  <si>
    <t>3/4" Checkvalve</t>
  </si>
  <si>
    <t>3/4"x3" Nepul</t>
  </si>
  <si>
    <t>Suta</t>
  </si>
  <si>
    <t>Plumber Masala</t>
  </si>
  <si>
    <t>Week 1</t>
  </si>
  <si>
    <t>Daily Profit</t>
  </si>
  <si>
    <t>Total Profit</t>
  </si>
  <si>
    <t>Units Sold</t>
  </si>
  <si>
    <t>Monday</t>
  </si>
  <si>
    <t>Tuesday</t>
  </si>
  <si>
    <t>Wednesday</t>
  </si>
  <si>
    <t>Thursday</t>
  </si>
  <si>
    <t>Friday</t>
  </si>
  <si>
    <t>Saturday</t>
  </si>
  <si>
    <t>Sunday</t>
  </si>
  <si>
    <t>Grand Total</t>
  </si>
  <si>
    <r>
      <rPr>
        <b/>
        <sz val="32"/>
        <color rgb="FF000000"/>
        <rFont val="Calibri"/>
        <scheme val="minor"/>
      </rPr>
      <t xml:space="preserve">SHOP SALES PERFORMANCE DASHBOARD
</t>
    </r>
    <r>
      <rPr>
        <b/>
        <sz val="28"/>
        <color rgb="FF000000"/>
        <rFont val="Calibri"/>
        <scheme val="minor"/>
      </rPr>
      <t>Weekly Sales, Profit and Product Analysis</t>
    </r>
  </si>
  <si>
    <t>Week 1 
03 Aug - 09 Aug</t>
  </si>
  <si>
    <t>Total Profit
₹ 3640.40</t>
  </si>
  <si>
    <t>Top Product (Profit)
Handpump</t>
  </si>
  <si>
    <t>Avg. Profit
₹ 520.06</t>
  </si>
  <si>
    <t>Best Day
04-08-2026</t>
  </si>
  <si>
    <t>Week 2
10 Aug - 16 Aug</t>
  </si>
  <si>
    <t xml:space="preserve">Total Profit
₹ </t>
  </si>
  <si>
    <t xml:space="preserve">Top Product (Profit)
</t>
  </si>
  <si>
    <t>Avg. Profit
₹</t>
  </si>
  <si>
    <t xml:space="preserve">Best Day
</t>
  </si>
  <si>
    <t>Week 3 
17 Aug - 23 Aug</t>
  </si>
  <si>
    <t>Week 4
24 Aug - 30 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</si>
</sst>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39]#,##0.00"/>
  </numFmts>
  <fonts count="20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3"/>
      <color rgb="FF000000"/>
      <name val="Calibri"/>
      <family val="2"/>
      <scheme val="minor"/>
    </font>
    <font>
      <b/>
      <sz val="12"/>
      <color rgb="FF1F4E78"/>
      <name val="Calibri"/>
      <scheme val="minor"/>
    </font>
    <font>
      <b/>
      <sz val="16"/>
      <color theme="0"/>
      <name val="Calibri"/>
      <family val="2"/>
      <scheme val="minor"/>
    </font>
    <font>
      <b/>
      <sz val="12"/>
      <color rgb="FF1F4E78"/>
      <name val="Calibri"/>
      <family val="2"/>
      <scheme val="minor"/>
    </font>
    <font>
      <b/>
      <sz val="20"/>
      <color theme="0"/>
      <name val="Calibri"/>
      <scheme val="minor"/>
    </font>
    <font>
      <b/>
      <sz val="19"/>
      <color theme="0"/>
      <name val="Calibri"/>
      <scheme val="minor"/>
    </font>
    <font>
      <b/>
      <sz val="18"/>
      <color theme="0"/>
      <name val="Calibri"/>
      <scheme val="minor"/>
    </font>
    <font>
      <b/>
      <sz val="13"/>
      <color rgb="FF1F4E78"/>
      <name val="Calibri"/>
      <scheme val="minor"/>
    </font>
    <font>
      <sz val="13"/>
      <color rgb="FF000000"/>
      <name val="Calibri"/>
      <scheme val="minor"/>
    </font>
    <font>
      <sz val="13"/>
      <color rgb="FF1F4E78"/>
      <name val="Calibri"/>
      <scheme val="minor"/>
    </font>
    <font>
      <sz val="14"/>
      <color rgb="FF000000"/>
      <name val="Calibri"/>
      <scheme val="minor"/>
    </font>
    <font>
      <sz val="14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2"/>
      <color rgb="FF000000"/>
      <name val="Calibri"/>
      <scheme val="minor"/>
    </font>
    <font>
      <b/>
      <sz val="28"/>
      <color rgb="FF000000"/>
      <name val="Calibri"/>
      <scheme val="minor"/>
    </font>
    <font>
      <b/>
      <sz val="36"/>
      <color rgb="FF000000"/>
      <name val="Calibri"/>
      <scheme val="minor"/>
    </font>
    <font>
      <sz val="13"/>
      <color rgb="FF000000"/>
      <name val="Calibri"/>
      <family val="2"/>
      <charset val="1"/>
    </font>
    <font>
      <sz val="1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AF3F8"/>
        <bgColor indexed="64"/>
      </patternFill>
    </fill>
  </fills>
  <borders count="4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medium">
        <color rgb="FFB7B7B7"/>
      </left>
      <right/>
      <top style="medium">
        <color rgb="FFB7B7B7"/>
      </top>
      <bottom/>
      <diagonal/>
    </border>
    <border>
      <left/>
      <right/>
      <top style="medium">
        <color rgb="FFB7B7B7"/>
      </top>
      <bottom/>
      <diagonal/>
    </border>
    <border>
      <left/>
      <right style="medium">
        <color rgb="FFB7B7B7"/>
      </right>
      <top style="medium">
        <color rgb="FFB7B7B7"/>
      </top>
      <bottom/>
      <diagonal/>
    </border>
    <border>
      <left style="medium">
        <color rgb="FFB7B7B7"/>
      </left>
      <right/>
      <top/>
      <bottom/>
      <diagonal/>
    </border>
    <border>
      <left/>
      <right style="medium">
        <color rgb="FFB7B7B7"/>
      </right>
      <top/>
      <bottom/>
      <diagonal/>
    </border>
    <border>
      <left style="medium">
        <color rgb="FFB7B7B7"/>
      </left>
      <right/>
      <top/>
      <bottom style="medium">
        <color rgb="FFB7B7B7"/>
      </bottom>
      <diagonal/>
    </border>
    <border>
      <left/>
      <right/>
      <top/>
      <bottom style="medium">
        <color rgb="FFB7B7B7"/>
      </bottom>
      <diagonal/>
    </border>
    <border>
      <left/>
      <right style="medium">
        <color rgb="FFB7B7B7"/>
      </right>
      <top/>
      <bottom style="medium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medium">
        <color rgb="FFB7B7B7"/>
      </left>
      <right style="thin">
        <color rgb="FFB7B7B7"/>
      </right>
      <top style="medium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medium">
        <color rgb="FFB7B7B7"/>
      </top>
      <bottom style="thin">
        <color rgb="FFB7B7B7"/>
      </bottom>
      <diagonal/>
    </border>
    <border>
      <left style="thin">
        <color rgb="FFB7B7B7"/>
      </left>
      <right style="medium">
        <color rgb="FFB7B7B7"/>
      </right>
      <top style="medium">
        <color rgb="FFB7B7B7"/>
      </top>
      <bottom style="thin">
        <color rgb="FFB7B7B7"/>
      </bottom>
      <diagonal/>
    </border>
    <border>
      <left style="medium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medium">
        <color rgb="FFB7B7B7"/>
      </right>
      <top style="thin">
        <color rgb="FFB7B7B7"/>
      </top>
      <bottom style="thin">
        <color rgb="FFB7B7B7"/>
      </bottom>
      <diagonal/>
    </border>
    <border>
      <left style="medium">
        <color rgb="FFB7B7B7"/>
      </left>
      <right style="thin">
        <color rgb="FFB7B7B7"/>
      </right>
      <top style="thin">
        <color rgb="FFB7B7B7"/>
      </top>
      <bottom style="medium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medium">
        <color rgb="FFB7B7B7"/>
      </bottom>
      <diagonal/>
    </border>
    <border>
      <left style="thin">
        <color rgb="FFB7B7B7"/>
      </left>
      <right style="medium">
        <color rgb="FFB7B7B7"/>
      </right>
      <top style="thin">
        <color rgb="FFB7B7B7"/>
      </top>
      <bottom style="medium">
        <color rgb="FFB7B7B7"/>
      </bottom>
      <diagonal/>
    </border>
    <border>
      <left style="thin">
        <color rgb="FFB7B7B7"/>
      </left>
      <right style="medium">
        <color rgb="FFB7B7B7"/>
      </right>
      <top style="thin">
        <color rgb="FFB7B7B7"/>
      </top>
      <bottom/>
      <diagonal/>
    </border>
    <border>
      <left style="medium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/>
      <top style="thin">
        <color theme="4" tint="0.39997558519241921"/>
      </top>
      <bottom style="thin">
        <color rgb="FF000000"/>
      </bottom>
      <diagonal/>
    </border>
    <border>
      <left style="thin">
        <color rgb="FF000000"/>
      </left>
      <right/>
      <top style="thin">
        <color theme="4" tint="0.3999755851924192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3">
    <xf numFmtId="0" fontId="0" fillId="0" borderId="0" xfId="0"/>
    <xf numFmtId="14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0" xfId="0" applyBorder="1"/>
    <xf numFmtId="14" fontId="2" fillId="2" borderId="33" xfId="0" applyNumberFormat="1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1" fontId="2" fillId="2" borderId="33" xfId="0" applyNumberFormat="1" applyFont="1" applyFill="1" applyBorder="1" applyAlignment="1">
      <alignment horizontal="center" vertical="center"/>
    </xf>
    <xf numFmtId="164" fontId="2" fillId="2" borderId="33" xfId="0" applyNumberFormat="1" applyFont="1" applyFill="1" applyBorder="1" applyAlignment="1">
      <alignment horizontal="center" vertical="center"/>
    </xf>
    <xf numFmtId="0" fontId="18" fillId="2" borderId="34" xfId="0" applyFont="1" applyFill="1" applyBorder="1" applyAlignment="1">
      <alignment horizontal="center" vertical="center"/>
    </xf>
    <xf numFmtId="14" fontId="2" fillId="2" borderId="35" xfId="0" applyNumberFormat="1" applyFont="1" applyFill="1" applyBorder="1" applyAlignment="1">
      <alignment horizontal="center" vertical="center"/>
    </xf>
    <xf numFmtId="164" fontId="2" fillId="2" borderId="35" xfId="0" applyNumberFormat="1" applyFont="1" applyFill="1" applyBorder="1" applyAlignment="1">
      <alignment horizontal="center" vertical="center"/>
    </xf>
    <xf numFmtId="14" fontId="2" fillId="2" borderId="36" xfId="0" applyNumberFormat="1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164" fontId="2" fillId="2" borderId="36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 wrapText="1" indent="2"/>
    </xf>
    <xf numFmtId="0" fontId="5" fillId="4" borderId="5" xfId="0" applyFont="1" applyFill="1" applyBorder="1" applyAlignment="1">
      <alignment horizontal="left" vertical="center" wrapText="1" indent="2"/>
    </xf>
    <xf numFmtId="0" fontId="5" fillId="4" borderId="6" xfId="0" applyFont="1" applyFill="1" applyBorder="1" applyAlignment="1">
      <alignment horizontal="left" vertical="center" wrapText="1" indent="2"/>
    </xf>
    <xf numFmtId="0" fontId="5" fillId="4" borderId="7" xfId="0" applyFont="1" applyFill="1" applyBorder="1" applyAlignment="1">
      <alignment horizontal="left" vertical="center" wrapText="1" indent="2"/>
    </xf>
    <xf numFmtId="0" fontId="5" fillId="4" borderId="0" xfId="0" applyFont="1" applyFill="1" applyBorder="1" applyAlignment="1">
      <alignment horizontal="left" vertical="center" wrapText="1" indent="2"/>
    </xf>
    <xf numFmtId="0" fontId="5" fillId="4" borderId="8" xfId="0" applyFont="1" applyFill="1" applyBorder="1" applyAlignment="1">
      <alignment horizontal="left" vertical="center" wrapText="1" indent="2"/>
    </xf>
    <xf numFmtId="0" fontId="5" fillId="4" borderId="9" xfId="0" applyFont="1" applyFill="1" applyBorder="1" applyAlignment="1">
      <alignment horizontal="left" vertical="center" wrapText="1" indent="2"/>
    </xf>
    <xf numFmtId="0" fontId="5" fillId="4" borderId="10" xfId="0" applyFont="1" applyFill="1" applyBorder="1" applyAlignment="1">
      <alignment horizontal="left" vertical="center" wrapText="1" indent="2"/>
    </xf>
    <xf numFmtId="0" fontId="5" fillId="4" borderId="11" xfId="0" applyFont="1" applyFill="1" applyBorder="1" applyAlignment="1">
      <alignment horizontal="left" vertical="center" wrapText="1" indent="2"/>
    </xf>
    <xf numFmtId="0" fontId="9" fillId="4" borderId="4" xfId="0" applyFont="1" applyFill="1" applyBorder="1" applyAlignment="1">
      <alignment horizontal="left" vertical="center" wrapText="1" indent="2"/>
    </xf>
    <xf numFmtId="0" fontId="3" fillId="4" borderId="5" xfId="0" applyFont="1" applyFill="1" applyBorder="1" applyAlignment="1">
      <alignment horizontal="left" vertical="center" wrapText="1" indent="2"/>
    </xf>
    <xf numFmtId="0" fontId="3" fillId="4" borderId="6" xfId="0" applyFont="1" applyFill="1" applyBorder="1" applyAlignment="1">
      <alignment horizontal="left" vertical="center" wrapText="1" indent="2"/>
    </xf>
    <xf numFmtId="0" fontId="3" fillId="4" borderId="7" xfId="0" applyFont="1" applyFill="1" applyBorder="1" applyAlignment="1">
      <alignment horizontal="left" vertical="center" wrapText="1" indent="2"/>
    </xf>
    <xf numFmtId="0" fontId="3" fillId="4" borderId="0" xfId="0" applyFont="1" applyFill="1" applyBorder="1" applyAlignment="1">
      <alignment horizontal="left" vertical="center" wrapText="1" indent="2"/>
    </xf>
    <xf numFmtId="0" fontId="3" fillId="4" borderId="8" xfId="0" applyFont="1" applyFill="1" applyBorder="1" applyAlignment="1">
      <alignment horizontal="left" vertical="center" wrapText="1" indent="2"/>
    </xf>
    <xf numFmtId="0" fontId="3" fillId="4" borderId="9" xfId="0" applyFont="1" applyFill="1" applyBorder="1" applyAlignment="1">
      <alignment horizontal="left" vertical="center" wrapText="1" indent="2"/>
    </xf>
    <xf numFmtId="0" fontId="3" fillId="4" borderId="10" xfId="0" applyFont="1" applyFill="1" applyBorder="1" applyAlignment="1">
      <alignment horizontal="left" vertical="center" wrapText="1" indent="2"/>
    </xf>
    <xf numFmtId="0" fontId="3" fillId="4" borderId="11" xfId="0" applyFont="1" applyFill="1" applyBorder="1" applyAlignment="1">
      <alignment horizontal="left" vertical="center" wrapText="1" indent="2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164" fontId="2" fillId="2" borderId="32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164" fontId="1" fillId="2" borderId="41" xfId="0" applyNumberFormat="1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164" fontId="2" fillId="2" borderId="37" xfId="0" applyNumberFormat="1" applyFont="1" applyFill="1" applyBorder="1" applyAlignment="1">
      <alignment horizontal="center" vertical="center"/>
    </xf>
    <xf numFmtId="14" fontId="2" fillId="2" borderId="32" xfId="0" applyNumberFormat="1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164" fontId="2" fillId="2" borderId="43" xfId="0" applyNumberFormat="1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32" xfId="0" pivotButton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19" fillId="0" borderId="36" xfId="0" pivotButton="1" applyFont="1" applyBorder="1" applyAlignment="1">
      <alignment horizontal="left" vertical="center" indent="1"/>
    </xf>
    <xf numFmtId="0" fontId="19" fillId="0" borderId="32" xfId="0" applyFont="1" applyBorder="1" applyAlignment="1">
      <alignment horizontal="left" vertical="center" indent="1"/>
    </xf>
    <xf numFmtId="0" fontId="19" fillId="0" borderId="36" xfId="0" applyFont="1" applyBorder="1" applyAlignment="1">
      <alignment horizontal="right" vertical="center" indent="3"/>
    </xf>
    <xf numFmtId="0" fontId="19" fillId="0" borderId="36" xfId="0" applyFont="1" applyBorder="1" applyAlignment="1">
      <alignment horizontal="left" vertical="center" indent="1"/>
    </xf>
    <xf numFmtId="164" fontId="19" fillId="0" borderId="32" xfId="0" applyNumberFormat="1" applyFont="1" applyBorder="1" applyAlignment="1">
      <alignment horizontal="right" vertical="center" indent="3"/>
    </xf>
    <xf numFmtId="0" fontId="19" fillId="0" borderId="44" xfId="0" applyFont="1" applyBorder="1" applyAlignment="1">
      <alignment horizontal="left" vertical="center" indent="1"/>
    </xf>
    <xf numFmtId="0" fontId="19" fillId="0" borderId="32" xfId="0" applyNumberFormat="1" applyFont="1" applyBorder="1" applyAlignment="1">
      <alignment horizontal="right" vertical="center" indent="3"/>
    </xf>
  </cellXfs>
  <cellStyles count="1">
    <cellStyle name="Normal" xfId="0" builtinId="0"/>
  </cellStyles>
  <dxfs count="1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Calibri"/>
        <family val="2"/>
        <scheme val="minor"/>
      </font>
      <numFmt numFmtId="164" formatCode="[$₹-439]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Calibri"/>
        <family val="2"/>
        <scheme val="minor"/>
      </font>
      <numFmt numFmtId="164" formatCode="[$₹-439]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Calibri"/>
        <family val="2"/>
        <scheme val="minor"/>
      </font>
      <numFmt numFmtId="164" formatCode="[$₹-439]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Calibri"/>
        <family val="2"/>
        <scheme val="minor"/>
      </font>
      <numFmt numFmtId="164" formatCode="[$₹-439]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theme="4" tint="0.39997558519241921"/>
        </top>
        <bottom/>
        <vertical/>
        <horizontal/>
      </border>
    </dxf>
    <dxf>
      <border outline="0">
        <top style="medium">
          <color rgb="FF000000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numFmt numFmtId="164" formatCode="[$₹-439]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vertical="center"/>
    </dxf>
    <dxf>
      <alignment vertical="center"/>
    </dxf>
    <dxf>
      <alignment horizontal="left"/>
    </dxf>
    <dxf>
      <alignment horizontal="left"/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right"/>
    </dxf>
    <dxf>
      <alignment relativeIndent="1"/>
    </dxf>
    <dxf>
      <alignment relativeIndent="1"/>
    </dxf>
    <dxf>
      <alignment relativeIndent="1"/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left" relativeIndent="1"/>
    </dxf>
    <dxf>
      <alignment horizontal="left" relativeIndent="1"/>
    </dxf>
    <dxf>
      <alignment horizontal="left"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relativeIndent="-1"/>
    </dxf>
    <dxf>
      <alignment relativeIndent="1"/>
    </dxf>
    <dxf>
      <alignment relativeIndent="1"/>
    </dxf>
    <dxf>
      <alignment vertical="center"/>
    </dxf>
    <dxf>
      <alignment vertical="center"/>
    </dxf>
    <dxf>
      <alignment vertical="center"/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horizontal="right"/>
    </dxf>
    <dxf>
      <alignment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relativeIndent="1"/>
    </dxf>
    <dxf>
      <alignment relativeIndent="1"/>
    </dxf>
    <dxf>
      <alignment vertical="center"/>
    </dxf>
    <dxf>
      <alignment vertical="center"/>
    </dxf>
    <dxf>
      <alignment vertical="center"/>
    </dxf>
    <dxf>
      <alignment horizontal="right"/>
    </dxf>
    <dxf>
      <alignment horizontal="right"/>
    </dxf>
    <dxf>
      <alignment horizontal="right"/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z val="13"/>
      </font>
    </dxf>
    <dxf>
      <alignment horizontal="right"/>
    </dxf>
    <dxf>
      <alignment relativeIndent="1"/>
    </dxf>
    <dxf>
      <alignment relativeIndent="1"/>
    </dxf>
    <dxf>
      <alignment relativeIndent="1"/>
    </dxf>
    <dxf>
      <alignment vertical="center"/>
    </dxf>
  </dxfs>
  <tableStyles count="0" defaultTableStyle="TableStyleMedium2" defaultPivotStyle="PivotStyleMedium9"/>
  <colors>
    <mruColors>
      <color rgb="FFB7B7B7"/>
      <color rgb="FFEAF3F8"/>
      <color rgb="FF6395C2"/>
      <color rgb="FF1F4E78"/>
      <color rgb="FFF4C95D"/>
      <color rgb="FFF2C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Profit Trend ( 03 Aug - 09 Aug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'Pivot_Analysis - Week - 1'!$F$4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'Pivot_Analysis - Week - 1'!$E$5:$E$12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'Pivot_Analysis - Week - 1'!$F$5:$F$12</c:f>
              <c:numCache>
                <c:formatCode>[$₹-439]#,##0.00</c:formatCode>
                <c:ptCount val="7"/>
                <c:pt idx="0">
                  <c:v>562.20000000000005</c:v>
                </c:pt>
                <c:pt idx="1">
                  <c:v>683</c:v>
                </c:pt>
                <c:pt idx="2">
                  <c:v>272</c:v>
                </c:pt>
                <c:pt idx="3">
                  <c:v>558</c:v>
                </c:pt>
                <c:pt idx="4">
                  <c:v>601.5</c:v>
                </c:pt>
                <c:pt idx="5">
                  <c:v>399.4</c:v>
                </c:pt>
                <c:pt idx="6">
                  <c:v>564.29999999999995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FC-4900-B8E7-7F7C64B96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3108999"/>
        <c:axId val="513142791"/>
      </c:lineChart>
      <c:catAx>
        <c:axId val="513108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142791"/>
        <c:crosses val="autoZero"/>
        <c:auto val="1"/>
        <c:lblAlgn val="ctr"/>
        <c:lblOffset val="100"/>
        <c:noMultiLvlLbl val="0"/>
      </c:catAx>
      <c:valAx>
        <c:axId val="513142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108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Products By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- 1'!$O$4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- 1'!$N$5:$N$50</c:f>
              <c:strCache>
                <c:ptCount val="45"/>
                <c:pt idx="0">
                  <c:v>Handpump</c:v>
                </c:pt>
                <c:pt idx="1">
                  <c:v>Tank Cover</c:v>
                </c:pt>
                <c:pt idx="2">
                  <c:v>Stand Besin</c:v>
                </c:pt>
                <c:pt idx="3">
                  <c:v>1" Pipe</c:v>
                </c:pt>
                <c:pt idx="4">
                  <c:v>Flusher</c:v>
                </c:pt>
                <c:pt idx="5">
                  <c:v>4" Pipe</c:v>
                </c:pt>
                <c:pt idx="6">
                  <c:v>Tap</c:v>
                </c:pt>
                <c:pt idx="7">
                  <c:v>Loose Pipe</c:v>
                </c:pt>
                <c:pt idx="8">
                  <c:v>1" Elbow</c:v>
                </c:pt>
                <c:pt idx="9">
                  <c:v>1/2"x12" Nepul</c:v>
                </c:pt>
                <c:pt idx="10">
                  <c:v>Connection Pipe</c:v>
                </c:pt>
                <c:pt idx="11">
                  <c:v>4" Band</c:v>
                </c:pt>
                <c:pt idx="12">
                  <c:v>Solvent</c:v>
                </c:pt>
                <c:pt idx="13">
                  <c:v>Long Tap</c:v>
                </c:pt>
                <c:pt idx="14">
                  <c:v>4" Coupler</c:v>
                </c:pt>
                <c:pt idx="15">
                  <c:v>3/4" Checkvalve</c:v>
                </c:pt>
                <c:pt idx="16">
                  <c:v>Shower</c:v>
                </c:pt>
                <c:pt idx="17">
                  <c:v>3" Pipe</c:v>
                </c:pt>
                <c:pt idx="18">
                  <c:v>Solvent 10ml</c:v>
                </c:pt>
                <c:pt idx="19">
                  <c:v>3" Coupler</c:v>
                </c:pt>
                <c:pt idx="20">
                  <c:v>1/2" Pipe</c:v>
                </c:pt>
                <c:pt idx="21">
                  <c:v>1" Ball Valve</c:v>
                </c:pt>
                <c:pt idx="22">
                  <c:v>PVC Hook</c:v>
                </c:pt>
                <c:pt idx="23">
                  <c:v>3" Band</c:v>
                </c:pt>
                <c:pt idx="24">
                  <c:v>Angle Cock</c:v>
                </c:pt>
                <c:pt idx="25">
                  <c:v>1½"x3/4" Rodiser</c:v>
                </c:pt>
                <c:pt idx="26">
                  <c:v>5" Syphan</c:v>
                </c:pt>
                <c:pt idx="27">
                  <c:v>Waste Pipe</c:v>
                </c:pt>
                <c:pt idx="28">
                  <c:v>1½"x6" Nepul</c:v>
                </c:pt>
                <c:pt idx="29">
                  <c:v>3" Tee</c:v>
                </c:pt>
                <c:pt idx="30">
                  <c:v>3" End Cap</c:v>
                </c:pt>
                <c:pt idx="31">
                  <c:v>Fan Hook</c:v>
                </c:pt>
                <c:pt idx="32">
                  <c:v>4" Tee</c:v>
                </c:pt>
                <c:pt idx="33">
                  <c:v>Solvent PVC</c:v>
                </c:pt>
                <c:pt idx="34">
                  <c:v>White Cement</c:v>
                </c:pt>
                <c:pt idx="35">
                  <c:v>1" Coupler</c:v>
                </c:pt>
                <c:pt idx="36">
                  <c:v>3" Hook</c:v>
                </c:pt>
                <c:pt idx="37">
                  <c:v>1"x4" Nepul</c:v>
                </c:pt>
                <c:pt idx="38">
                  <c:v>4" Blade</c:v>
                </c:pt>
                <c:pt idx="39">
                  <c:v>3/4"x3" Nepul</c:v>
                </c:pt>
                <c:pt idx="40">
                  <c:v>M-Seal</c:v>
                </c:pt>
                <c:pt idx="41">
                  <c:v>Plumber Masala</c:v>
                </c:pt>
                <c:pt idx="42">
                  <c:v>3" Bocket</c:v>
                </c:pt>
                <c:pt idx="43">
                  <c:v>Suta</c:v>
                </c:pt>
                <c:pt idx="44">
                  <c:v>Aree Blade</c:v>
                </c:pt>
              </c:strCache>
            </c:strRef>
          </c:cat>
          <c:val>
            <c:numRef>
              <c:f>'Pivot_Analysis - Week - 1'!$O$5:$O$50</c:f>
              <c:numCache>
                <c:formatCode>[$₹-439]#,##0.00</c:formatCode>
                <c:ptCount val="45"/>
                <c:pt idx="0">
                  <c:v>470</c:v>
                </c:pt>
                <c:pt idx="1">
                  <c:v>380</c:v>
                </c:pt>
                <c:pt idx="2">
                  <c:v>256</c:v>
                </c:pt>
                <c:pt idx="3">
                  <c:v>238</c:v>
                </c:pt>
                <c:pt idx="4">
                  <c:v>220</c:v>
                </c:pt>
                <c:pt idx="5">
                  <c:v>162</c:v>
                </c:pt>
                <c:pt idx="6">
                  <c:v>126</c:v>
                </c:pt>
                <c:pt idx="7">
                  <c:v>120</c:v>
                </c:pt>
                <c:pt idx="8">
                  <c:v>97.5</c:v>
                </c:pt>
                <c:pt idx="9">
                  <c:v>96</c:v>
                </c:pt>
                <c:pt idx="10">
                  <c:v>94</c:v>
                </c:pt>
                <c:pt idx="11">
                  <c:v>84</c:v>
                </c:pt>
                <c:pt idx="12">
                  <c:v>76</c:v>
                </c:pt>
                <c:pt idx="13">
                  <c:v>74</c:v>
                </c:pt>
                <c:pt idx="14">
                  <c:v>72</c:v>
                </c:pt>
                <c:pt idx="15">
                  <c:v>70</c:v>
                </c:pt>
                <c:pt idx="16">
                  <c:v>70</c:v>
                </c:pt>
                <c:pt idx="17">
                  <c:v>66</c:v>
                </c:pt>
                <c:pt idx="18">
                  <c:v>64</c:v>
                </c:pt>
                <c:pt idx="19">
                  <c:v>55</c:v>
                </c:pt>
                <c:pt idx="20">
                  <c:v>54</c:v>
                </c:pt>
                <c:pt idx="21">
                  <c:v>52</c:v>
                </c:pt>
                <c:pt idx="22">
                  <c:v>48</c:v>
                </c:pt>
                <c:pt idx="23">
                  <c:v>48</c:v>
                </c:pt>
                <c:pt idx="24">
                  <c:v>48</c:v>
                </c:pt>
                <c:pt idx="25">
                  <c:v>43</c:v>
                </c:pt>
                <c:pt idx="26">
                  <c:v>40</c:v>
                </c:pt>
                <c:pt idx="27">
                  <c:v>38</c:v>
                </c:pt>
                <c:pt idx="28">
                  <c:v>36</c:v>
                </c:pt>
                <c:pt idx="29">
                  <c:v>36</c:v>
                </c:pt>
                <c:pt idx="30">
                  <c:v>32</c:v>
                </c:pt>
                <c:pt idx="31">
                  <c:v>31.5</c:v>
                </c:pt>
                <c:pt idx="32">
                  <c:v>30</c:v>
                </c:pt>
                <c:pt idx="33">
                  <c:v>28</c:v>
                </c:pt>
                <c:pt idx="34">
                  <c:v>26</c:v>
                </c:pt>
                <c:pt idx="35">
                  <c:v>24</c:v>
                </c:pt>
                <c:pt idx="36">
                  <c:v>21</c:v>
                </c:pt>
                <c:pt idx="37">
                  <c:v>20</c:v>
                </c:pt>
                <c:pt idx="38">
                  <c:v>18.900000000000006</c:v>
                </c:pt>
                <c:pt idx="39">
                  <c:v>18</c:v>
                </c:pt>
                <c:pt idx="40">
                  <c:v>14</c:v>
                </c:pt>
                <c:pt idx="41">
                  <c:v>13.5</c:v>
                </c:pt>
                <c:pt idx="42">
                  <c:v>12</c:v>
                </c:pt>
                <c:pt idx="43">
                  <c:v>10.8</c:v>
                </c:pt>
                <c:pt idx="44">
                  <c:v>7.2000000000000028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34-4EF5-A89E-2E0EAEF47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6510983"/>
        <c:axId val="1256513031"/>
      </c:barChart>
      <c:catAx>
        <c:axId val="1256510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513031"/>
        <c:crosses val="autoZero"/>
        <c:auto val="1"/>
        <c:lblAlgn val="ctr"/>
        <c:lblOffset val="100"/>
        <c:noMultiLvlLbl val="0"/>
      </c:catAx>
      <c:valAx>
        <c:axId val="1256513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510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Selling Product ( By Quantity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- 1'!$Y$4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- 1'!$X$5:$X$50</c:f>
              <c:strCache>
                <c:ptCount val="45"/>
                <c:pt idx="0">
                  <c:v>4" Blade</c:v>
                </c:pt>
                <c:pt idx="1">
                  <c:v>PVC Hook</c:v>
                </c:pt>
                <c:pt idx="2">
                  <c:v>1" Elbow</c:v>
                </c:pt>
                <c:pt idx="3">
                  <c:v>1" Pipe</c:v>
                </c:pt>
                <c:pt idx="4">
                  <c:v>Tap</c:v>
                </c:pt>
                <c:pt idx="5">
                  <c:v>Solvent 10ml</c:v>
                </c:pt>
                <c:pt idx="6">
                  <c:v>Aree Blade</c:v>
                </c:pt>
                <c:pt idx="7">
                  <c:v>1" Coupler</c:v>
                </c:pt>
                <c:pt idx="8">
                  <c:v>M-Seal</c:v>
                </c:pt>
                <c:pt idx="9">
                  <c:v>3" Band</c:v>
                </c:pt>
                <c:pt idx="10">
                  <c:v>4" Coupler</c:v>
                </c:pt>
                <c:pt idx="11">
                  <c:v>3" Hook</c:v>
                </c:pt>
                <c:pt idx="12">
                  <c:v>4" Pipe</c:v>
                </c:pt>
                <c:pt idx="13">
                  <c:v>3" Coupler</c:v>
                </c:pt>
                <c:pt idx="14">
                  <c:v>4" Band</c:v>
                </c:pt>
                <c:pt idx="15">
                  <c:v>Solvent PVC</c:v>
                </c:pt>
                <c:pt idx="16">
                  <c:v>1/2"x12" Nepul</c:v>
                </c:pt>
                <c:pt idx="17">
                  <c:v>3" Bocket</c:v>
                </c:pt>
                <c:pt idx="18">
                  <c:v>Suta</c:v>
                </c:pt>
                <c:pt idx="19">
                  <c:v>Tank Cover</c:v>
                </c:pt>
                <c:pt idx="20">
                  <c:v>Plumber Masala</c:v>
                </c:pt>
                <c:pt idx="21">
                  <c:v>1/2" Pipe</c:v>
                </c:pt>
                <c:pt idx="22">
                  <c:v>Fan Hook</c:v>
                </c:pt>
                <c:pt idx="23">
                  <c:v>Handpump</c:v>
                </c:pt>
                <c:pt idx="24">
                  <c:v>Stand Besin</c:v>
                </c:pt>
                <c:pt idx="25">
                  <c:v>3/4"x3" Nepul</c:v>
                </c:pt>
                <c:pt idx="26">
                  <c:v>Waste Pipe</c:v>
                </c:pt>
                <c:pt idx="27">
                  <c:v>3" End Cap</c:v>
                </c:pt>
                <c:pt idx="28">
                  <c:v>Connection Pipe</c:v>
                </c:pt>
                <c:pt idx="29">
                  <c:v>Angle Cock</c:v>
                </c:pt>
                <c:pt idx="30">
                  <c:v>1" Ball Valve</c:v>
                </c:pt>
                <c:pt idx="31">
                  <c:v>White Cement</c:v>
                </c:pt>
                <c:pt idx="32">
                  <c:v>3" Tee</c:v>
                </c:pt>
                <c:pt idx="33">
                  <c:v>Solvent</c:v>
                </c:pt>
                <c:pt idx="34">
                  <c:v>3" Pipe</c:v>
                </c:pt>
                <c:pt idx="35">
                  <c:v>Long Tap</c:v>
                </c:pt>
                <c:pt idx="36">
                  <c:v>4" Tee</c:v>
                </c:pt>
                <c:pt idx="37">
                  <c:v>Flusher</c:v>
                </c:pt>
                <c:pt idx="38">
                  <c:v>1½"x6" Nepul</c:v>
                </c:pt>
                <c:pt idx="39">
                  <c:v>1½"x3/4" Rodiser</c:v>
                </c:pt>
                <c:pt idx="40">
                  <c:v>1"x4" Nepul</c:v>
                </c:pt>
                <c:pt idx="41">
                  <c:v>Shower</c:v>
                </c:pt>
                <c:pt idx="42">
                  <c:v>Loose Pipe</c:v>
                </c:pt>
                <c:pt idx="43">
                  <c:v>5" Syphan</c:v>
                </c:pt>
                <c:pt idx="44">
                  <c:v>3/4" Checkvalve</c:v>
                </c:pt>
              </c:strCache>
            </c:strRef>
          </c:cat>
          <c:val>
            <c:numRef>
              <c:f>'Pivot_Analysis - Week - 1'!$Y$5:$Y$50</c:f>
              <c:numCache>
                <c:formatCode>General</c:formatCode>
                <c:ptCount val="45"/>
                <c:pt idx="0">
                  <c:v>21</c:v>
                </c:pt>
                <c:pt idx="1">
                  <c:v>20</c:v>
                </c:pt>
                <c:pt idx="2">
                  <c:v>15</c:v>
                </c:pt>
                <c:pt idx="3">
                  <c:v>14</c:v>
                </c:pt>
                <c:pt idx="4">
                  <c:v>14</c:v>
                </c:pt>
                <c:pt idx="5">
                  <c:v>10</c:v>
                </c:pt>
                <c:pt idx="6">
                  <c:v>8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8B-4ED5-B6E6-26B92852D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1723015"/>
        <c:axId val="1271725063"/>
      </c:barChart>
      <c:catAx>
        <c:axId val="1271723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725063"/>
        <c:crosses val="autoZero"/>
        <c:auto val="1"/>
        <c:lblAlgn val="ctr"/>
        <c:lblOffset val="100"/>
        <c:noMultiLvlLbl val="0"/>
      </c:catAx>
      <c:valAx>
        <c:axId val="1271725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723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Profit Trend ( 03 Aug - 09 Aug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7"/>
              <c:pt idx="0">
                <c:v>03/08/2026</c:v>
              </c:pt>
              <c:pt idx="1">
                <c:v>04/08/2026</c:v>
              </c:pt>
              <c:pt idx="2">
                <c:v>05/08/2026</c:v>
              </c:pt>
              <c:pt idx="3">
                <c:v>06/08/2026</c:v>
              </c:pt>
              <c:pt idx="4">
                <c:v>07/08/2026</c:v>
              </c:pt>
              <c:pt idx="5">
                <c:v>08/08/2026</c:v>
              </c:pt>
              <c:pt idx="6">
                <c:v>09/08/2026</c:v>
              </c:pt>
            </c:strLit>
          </c:cat>
          <c:val>
            <c:numLit>
              <c:formatCode>General</c:formatCode>
              <c:ptCount val="7"/>
              <c:pt idx="0">
                <c:v>562.20000000000005</c:v>
              </c:pt>
              <c:pt idx="1">
                <c:v>683</c:v>
              </c:pt>
              <c:pt idx="2">
                <c:v>272</c:v>
              </c:pt>
              <c:pt idx="3">
                <c:v>558</c:v>
              </c:pt>
              <c:pt idx="4">
                <c:v>601.5</c:v>
              </c:pt>
              <c:pt idx="5">
                <c:v>399.4</c:v>
              </c:pt>
              <c:pt idx="6">
                <c:v>564.29999999999995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FA6-4103-9490-325B30D10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2233736"/>
        <c:axId val="931352584"/>
      </c:lineChart>
      <c:catAx>
        <c:axId val="932233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352584"/>
        <c:crosses val="autoZero"/>
        <c:auto val="1"/>
        <c:lblAlgn val="ctr"/>
        <c:lblOffset val="100"/>
        <c:noMultiLvlLbl val="0"/>
      </c:catAx>
      <c:valAx>
        <c:axId val="931352584"/>
        <c:scaling>
          <c:orientation val="minMax"/>
          <c:max val="1000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233736"/>
        <c:crosses val="autoZero"/>
        <c:crossBetween val="between"/>
        <c:majorUnit val="200"/>
        <c:min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Products By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5"/>
              <c:pt idx="0">
                <c:v>Handpump</c:v>
              </c:pt>
              <c:pt idx="1">
                <c:v>Tank Cover</c:v>
              </c:pt>
              <c:pt idx="2">
                <c:v>Stand Besin</c:v>
              </c:pt>
              <c:pt idx="3">
                <c:v>1" Pipe</c:v>
              </c:pt>
              <c:pt idx="4">
                <c:v>Flusher</c:v>
              </c:pt>
              <c:pt idx="5">
                <c:v>4" Pipe</c:v>
              </c:pt>
              <c:pt idx="6">
                <c:v>Tap</c:v>
              </c:pt>
              <c:pt idx="7">
                <c:v>Loose Pipe</c:v>
              </c:pt>
              <c:pt idx="8">
                <c:v>1" Elbow</c:v>
              </c:pt>
              <c:pt idx="9">
                <c:v>1/2"x12" Nepul</c:v>
              </c:pt>
              <c:pt idx="10">
                <c:v>Connection Pipe</c:v>
              </c:pt>
              <c:pt idx="11">
                <c:v>4" Band</c:v>
              </c:pt>
              <c:pt idx="12">
                <c:v>Solvent</c:v>
              </c:pt>
              <c:pt idx="13">
                <c:v>Long Tap</c:v>
              </c:pt>
              <c:pt idx="14">
                <c:v>4" Coupler</c:v>
              </c:pt>
              <c:pt idx="15">
                <c:v>Shower</c:v>
              </c:pt>
              <c:pt idx="16">
                <c:v>3/4" Checkvalve</c:v>
              </c:pt>
              <c:pt idx="17">
                <c:v>3" Pipe</c:v>
              </c:pt>
              <c:pt idx="18">
                <c:v>Solvent 10ml</c:v>
              </c:pt>
              <c:pt idx="19">
                <c:v>3" Coupler</c:v>
              </c:pt>
              <c:pt idx="20">
                <c:v>1/2" Pipe</c:v>
              </c:pt>
              <c:pt idx="21">
                <c:v>1" Ball Valve</c:v>
              </c:pt>
              <c:pt idx="22">
                <c:v>3" Band</c:v>
              </c:pt>
              <c:pt idx="23">
                <c:v>PVC Hook</c:v>
              </c:pt>
              <c:pt idx="24">
                <c:v>Angle Cock</c:v>
              </c:pt>
              <c:pt idx="25">
                <c:v>1½"x3/4" Rodiser</c:v>
              </c:pt>
              <c:pt idx="26">
                <c:v>5" Syphan</c:v>
              </c:pt>
              <c:pt idx="27">
                <c:v>Waste Pipe</c:v>
              </c:pt>
              <c:pt idx="28">
                <c:v>1½"x6" Nepul</c:v>
              </c:pt>
              <c:pt idx="29">
                <c:v>3" Tee</c:v>
              </c:pt>
              <c:pt idx="30">
                <c:v>3" End Cap</c:v>
              </c:pt>
              <c:pt idx="31">
                <c:v>Fan Hook</c:v>
              </c:pt>
              <c:pt idx="32">
                <c:v>4" Tee</c:v>
              </c:pt>
              <c:pt idx="33">
                <c:v>Solvent PVC</c:v>
              </c:pt>
              <c:pt idx="34">
                <c:v>White Cement</c:v>
              </c:pt>
              <c:pt idx="35">
                <c:v>1" Coupler</c:v>
              </c:pt>
              <c:pt idx="36">
                <c:v>3" Hook</c:v>
              </c:pt>
              <c:pt idx="37">
                <c:v>1"x4" Nepul</c:v>
              </c:pt>
              <c:pt idx="38">
                <c:v>4" Blade</c:v>
              </c:pt>
              <c:pt idx="39">
                <c:v>3/4"x3" Nepul</c:v>
              </c:pt>
              <c:pt idx="40">
                <c:v>M-Seal</c:v>
              </c:pt>
              <c:pt idx="41">
                <c:v>Plumber Masala</c:v>
              </c:pt>
              <c:pt idx="42">
                <c:v>3" Bocket</c:v>
              </c:pt>
              <c:pt idx="43">
                <c:v>Suta</c:v>
              </c:pt>
              <c:pt idx="44">
                <c:v>Aree Blade</c:v>
              </c:pt>
            </c:strLit>
          </c:cat>
          <c:val>
            <c:numLit>
              <c:formatCode>General</c:formatCode>
              <c:ptCount val="45"/>
              <c:pt idx="0">
                <c:v>470</c:v>
              </c:pt>
              <c:pt idx="1">
                <c:v>380</c:v>
              </c:pt>
              <c:pt idx="2">
                <c:v>256</c:v>
              </c:pt>
              <c:pt idx="3">
                <c:v>238</c:v>
              </c:pt>
              <c:pt idx="4">
                <c:v>220</c:v>
              </c:pt>
              <c:pt idx="5">
                <c:v>162</c:v>
              </c:pt>
              <c:pt idx="6">
                <c:v>126</c:v>
              </c:pt>
              <c:pt idx="7">
                <c:v>120</c:v>
              </c:pt>
              <c:pt idx="8">
                <c:v>97.5</c:v>
              </c:pt>
              <c:pt idx="9">
                <c:v>96</c:v>
              </c:pt>
              <c:pt idx="10">
                <c:v>94</c:v>
              </c:pt>
              <c:pt idx="11">
                <c:v>84</c:v>
              </c:pt>
              <c:pt idx="12">
                <c:v>76</c:v>
              </c:pt>
              <c:pt idx="13">
                <c:v>74</c:v>
              </c:pt>
              <c:pt idx="14">
                <c:v>72</c:v>
              </c:pt>
              <c:pt idx="15">
                <c:v>70</c:v>
              </c:pt>
              <c:pt idx="16">
                <c:v>70</c:v>
              </c:pt>
              <c:pt idx="17">
                <c:v>66</c:v>
              </c:pt>
              <c:pt idx="18">
                <c:v>64</c:v>
              </c:pt>
              <c:pt idx="19">
                <c:v>55</c:v>
              </c:pt>
              <c:pt idx="20">
                <c:v>54</c:v>
              </c:pt>
              <c:pt idx="21">
                <c:v>52</c:v>
              </c:pt>
              <c:pt idx="22">
                <c:v>48</c:v>
              </c:pt>
              <c:pt idx="23">
                <c:v>48</c:v>
              </c:pt>
              <c:pt idx="24">
                <c:v>48</c:v>
              </c:pt>
              <c:pt idx="25">
                <c:v>43</c:v>
              </c:pt>
              <c:pt idx="26">
                <c:v>40</c:v>
              </c:pt>
              <c:pt idx="27">
                <c:v>38</c:v>
              </c:pt>
              <c:pt idx="28">
                <c:v>36</c:v>
              </c:pt>
              <c:pt idx="29">
                <c:v>36</c:v>
              </c:pt>
              <c:pt idx="30">
                <c:v>32</c:v>
              </c:pt>
              <c:pt idx="31">
                <c:v>31.5</c:v>
              </c:pt>
              <c:pt idx="32">
                <c:v>30</c:v>
              </c:pt>
              <c:pt idx="33">
                <c:v>28</c:v>
              </c:pt>
              <c:pt idx="34">
                <c:v>26</c:v>
              </c:pt>
              <c:pt idx="35">
                <c:v>24</c:v>
              </c:pt>
              <c:pt idx="36">
                <c:v>21</c:v>
              </c:pt>
              <c:pt idx="37">
                <c:v>20</c:v>
              </c:pt>
              <c:pt idx="38">
                <c:v>18.900000000000006</c:v>
              </c:pt>
              <c:pt idx="39">
                <c:v>18</c:v>
              </c:pt>
              <c:pt idx="40">
                <c:v>14</c:v>
              </c:pt>
              <c:pt idx="41">
                <c:v>13.5</c:v>
              </c:pt>
              <c:pt idx="42">
                <c:v>12</c:v>
              </c:pt>
              <c:pt idx="43">
                <c:v>10.8</c:v>
              </c:pt>
              <c:pt idx="44">
                <c:v>7.2000000000000028</c:v>
              </c:pt>
            </c:numLit>
          </c:val>
          <c:extLst>
            <c:ext xmlns:c16="http://schemas.microsoft.com/office/drawing/2014/chart" uri="{C3380CC4-5D6E-409C-BE32-E72D297353CC}">
              <c16:uniqueId val="{00000000-C83F-4341-9F86-94887507B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8874247"/>
        <c:axId val="2068876295"/>
      </c:barChart>
      <c:catAx>
        <c:axId val="206887424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876295"/>
        <c:crosses val="autoZero"/>
        <c:auto val="1"/>
        <c:lblAlgn val="ctr"/>
        <c:lblOffset val="100"/>
        <c:noMultiLvlLbl val="0"/>
      </c:catAx>
      <c:valAx>
        <c:axId val="2068876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874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Selling Product ( By Quantity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5"/>
              <c:pt idx="0">
                <c:v>4" Blade</c:v>
              </c:pt>
              <c:pt idx="1">
                <c:v>PVC Hook</c:v>
              </c:pt>
              <c:pt idx="2">
                <c:v>1" Elbow</c:v>
              </c:pt>
              <c:pt idx="3">
                <c:v>1" Pipe</c:v>
              </c:pt>
              <c:pt idx="4">
                <c:v>Tap</c:v>
              </c:pt>
              <c:pt idx="5">
                <c:v>Solvent 10ml</c:v>
              </c:pt>
              <c:pt idx="6">
                <c:v>Aree Blade</c:v>
              </c:pt>
              <c:pt idx="7">
                <c:v>1" Coupler</c:v>
              </c:pt>
              <c:pt idx="8">
                <c:v>M-Seal</c:v>
              </c:pt>
              <c:pt idx="9">
                <c:v>3" Band</c:v>
              </c:pt>
              <c:pt idx="10">
                <c:v>4" Coupler</c:v>
              </c:pt>
              <c:pt idx="11">
                <c:v>3" Hook</c:v>
              </c:pt>
              <c:pt idx="12">
                <c:v>4" Pipe</c:v>
              </c:pt>
              <c:pt idx="13">
                <c:v>3" Coupler</c:v>
              </c:pt>
              <c:pt idx="14">
                <c:v>4" Band</c:v>
              </c:pt>
              <c:pt idx="15">
                <c:v>Solvent PVC</c:v>
              </c:pt>
              <c:pt idx="16">
                <c:v>1/2"x12" Nepul</c:v>
              </c:pt>
              <c:pt idx="17">
                <c:v>3" Bocket</c:v>
              </c:pt>
              <c:pt idx="18">
                <c:v>Suta</c:v>
              </c:pt>
              <c:pt idx="19">
                <c:v>Tank Cover</c:v>
              </c:pt>
              <c:pt idx="20">
                <c:v>Plumber Masala</c:v>
              </c:pt>
              <c:pt idx="21">
                <c:v>1/2" Pipe</c:v>
              </c:pt>
              <c:pt idx="22">
                <c:v>Fan Hook</c:v>
              </c:pt>
              <c:pt idx="23">
                <c:v>Handpump</c:v>
              </c:pt>
              <c:pt idx="24">
                <c:v>Stand Besin</c:v>
              </c:pt>
              <c:pt idx="25">
                <c:v>3/4"x3" Nepul</c:v>
              </c:pt>
              <c:pt idx="26">
                <c:v>Waste Pipe</c:v>
              </c:pt>
              <c:pt idx="27">
                <c:v>3" End Cap</c:v>
              </c:pt>
              <c:pt idx="28">
                <c:v>Connection Pipe</c:v>
              </c:pt>
              <c:pt idx="29">
                <c:v>Angle Cock</c:v>
              </c:pt>
              <c:pt idx="30">
                <c:v>1" Ball Valve</c:v>
              </c:pt>
              <c:pt idx="31">
                <c:v>White Cement</c:v>
              </c:pt>
              <c:pt idx="32">
                <c:v>3" Tee</c:v>
              </c:pt>
              <c:pt idx="33">
                <c:v>Solvent</c:v>
              </c:pt>
              <c:pt idx="34">
                <c:v>3" Pipe</c:v>
              </c:pt>
              <c:pt idx="35">
                <c:v>Long Tap</c:v>
              </c:pt>
              <c:pt idx="36">
                <c:v>4" Tee</c:v>
              </c:pt>
              <c:pt idx="37">
                <c:v>Flusher</c:v>
              </c:pt>
              <c:pt idx="38">
                <c:v>1½"x6" Nepul</c:v>
              </c:pt>
              <c:pt idx="39">
                <c:v>1½"x3/4" Rodiser</c:v>
              </c:pt>
              <c:pt idx="40">
                <c:v>1"x4" Nepul</c:v>
              </c:pt>
              <c:pt idx="41">
                <c:v>Shower</c:v>
              </c:pt>
              <c:pt idx="42">
                <c:v>Loose Pipe</c:v>
              </c:pt>
              <c:pt idx="43">
                <c:v>5" Syphan</c:v>
              </c:pt>
              <c:pt idx="44">
                <c:v>3/4" Checkvalve</c:v>
              </c:pt>
            </c:strLit>
          </c:cat>
          <c:val>
            <c:numLit>
              <c:formatCode>General</c:formatCode>
              <c:ptCount val="45"/>
              <c:pt idx="0">
                <c:v>21</c:v>
              </c:pt>
              <c:pt idx="1">
                <c:v>20</c:v>
              </c:pt>
              <c:pt idx="2">
                <c:v>15</c:v>
              </c:pt>
              <c:pt idx="3">
                <c:v>14</c:v>
              </c:pt>
              <c:pt idx="4">
                <c:v>14</c:v>
              </c:pt>
              <c:pt idx="5">
                <c:v>10</c:v>
              </c:pt>
              <c:pt idx="6">
                <c:v>8</c:v>
              </c:pt>
              <c:pt idx="7">
                <c:v>8</c:v>
              </c:pt>
              <c:pt idx="8">
                <c:v>7</c:v>
              </c:pt>
              <c:pt idx="9">
                <c:v>6</c:v>
              </c:pt>
              <c:pt idx="10">
                <c:v>6</c:v>
              </c:pt>
              <c:pt idx="11">
                <c:v>6</c:v>
              </c:pt>
              <c:pt idx="12">
                <c:v>6</c:v>
              </c:pt>
              <c:pt idx="13">
                <c:v>5</c:v>
              </c:pt>
              <c:pt idx="14">
                <c:v>4</c:v>
              </c:pt>
              <c:pt idx="15">
                <c:v>4</c:v>
              </c:pt>
              <c:pt idx="16">
                <c:v>4</c:v>
              </c:pt>
              <c:pt idx="17">
                <c:v>4</c:v>
              </c:pt>
              <c:pt idx="18">
                <c:v>4</c:v>
              </c:pt>
              <c:pt idx="19">
                <c:v>4</c:v>
              </c:pt>
              <c:pt idx="20">
                <c:v>3</c:v>
              </c:pt>
              <c:pt idx="21">
                <c:v>3</c:v>
              </c:pt>
              <c:pt idx="22">
                <c:v>3</c:v>
              </c:pt>
              <c:pt idx="23">
                <c:v>3</c:v>
              </c:pt>
              <c:pt idx="24">
                <c:v>2</c:v>
              </c:pt>
              <c:pt idx="25">
                <c:v>2</c:v>
              </c:pt>
              <c:pt idx="26">
                <c:v>2</c:v>
              </c:pt>
              <c:pt idx="27">
                <c:v>2</c:v>
              </c:pt>
              <c:pt idx="28">
                <c:v>2</c:v>
              </c:pt>
              <c:pt idx="29">
                <c:v>2</c:v>
              </c:pt>
              <c:pt idx="30">
                <c:v>2</c:v>
              </c:pt>
              <c:pt idx="31">
                <c:v>2</c:v>
              </c:pt>
              <c:pt idx="32">
                <c:v>2</c:v>
              </c:pt>
              <c:pt idx="33">
                <c:v>2</c:v>
              </c:pt>
              <c:pt idx="34">
                <c:v>2</c:v>
              </c:pt>
              <c:pt idx="35">
                <c:v>2</c:v>
              </c:pt>
              <c:pt idx="36">
                <c:v>2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D202-4156-BA9B-30D9F6AC4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3614215"/>
        <c:axId val="1403616263"/>
      </c:barChart>
      <c:catAx>
        <c:axId val="140361421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616263"/>
        <c:crosses val="autoZero"/>
        <c:auto val="1"/>
        <c:lblAlgn val="ctr"/>
        <c:lblOffset val="100"/>
        <c:noMultiLvlLbl val="0"/>
      </c:catAx>
      <c:valAx>
        <c:axId val="1403616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614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609600</xdr:colOff>
      <xdr:row>15</xdr:row>
      <xdr:rowOff>0</xdr:rowOff>
    </xdr:from>
    <xdr:to>
      <xdr:col>8</xdr:col>
      <xdr:colOff>9525</xdr:colOff>
      <xdr:row>26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CE1B87-44EE-8C0C-32F1-A9D110A40C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609600</xdr:colOff>
      <xdr:row>52</xdr:row>
      <xdr:rowOff>238125</xdr:rowOff>
    </xdr:from>
    <xdr:to>
      <xdr:col>19</xdr:col>
      <xdr:colOff>0</xdr:colOff>
      <xdr:row>64</xdr:row>
      <xdr:rowOff>238125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3A98DB-FCE7-6505-ECE2-3AA1B7B92A0A}"/>
            </a:ext>
            <a:ext uri="{147F2762-F138-4A5C-976F-8EAC2B608ADB}">
              <a16:predDERef xmlns:a16="http://schemas.microsoft.com/office/drawing/2014/main" pred="{40CE1B87-44EE-8C0C-32F1-A9D110A40C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52</xdr:row>
      <xdr:rowOff>238125</xdr:rowOff>
    </xdr:from>
    <xdr:to>
      <xdr:col>33</xdr:col>
      <xdr:colOff>9525</xdr:colOff>
      <xdr:row>64</xdr:row>
      <xdr:rowOff>228600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0C6053-EAC5-3329-6B8C-126800D88A4D}"/>
            </a:ext>
            <a:ext uri="{147F2762-F138-4A5C-976F-8EAC2B608ADB}">
              <a16:predDERef xmlns:a16="http://schemas.microsoft.com/office/drawing/2014/main" pred="{4F3A98DB-FCE7-6505-ECE2-3AA1B7B92A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1185863</xdr:colOff>
      <xdr:row>12</xdr:row>
      <xdr:rowOff>119062</xdr:rowOff>
    </xdr:from>
    <xdr:to>
      <xdr:col>4</xdr:col>
      <xdr:colOff>1395413</xdr:colOff>
      <xdr:row>14</xdr:row>
      <xdr:rowOff>128587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90BBCFD0-6DD7-496A-B2B6-ACD72ECCB594}"/>
            </a:ext>
            <a:ext uri="{147F2762-F138-4A5C-976F-8EAC2B608ADB}">
              <a16:predDERef xmlns:a16="http://schemas.microsoft.com/office/drawing/2014/main" pred="{330C6053-EAC5-3329-6B8C-126800D88A4D}"/>
            </a:ext>
          </a:extLst>
        </xdr:cNvPr>
        <xdr:cNvSpPr/>
      </xdr:nvSpPr>
      <xdr:spPr>
        <a:xfrm rot="5400000">
          <a:off x="3543300" y="3362325"/>
          <a:ext cx="523875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</xdr:col>
      <xdr:colOff>171450</xdr:colOff>
      <xdr:row>73</xdr:row>
      <xdr:rowOff>38100</xdr:rowOff>
    </xdr:from>
    <xdr:to>
      <xdr:col>3</xdr:col>
      <xdr:colOff>495300</xdr:colOff>
      <xdr:row>73</xdr:row>
      <xdr:rowOff>190500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49671F23-0755-44AC-AB6B-34C8D2C48DFB}"/>
            </a:ext>
            <a:ext uri="{147F2762-F138-4A5C-976F-8EAC2B608ADB}">
              <a16:predDERef xmlns:a16="http://schemas.microsoft.com/office/drawing/2014/main" pred="{C5D3F12B-E39F-49B8-AA74-2C2595E645C0}"/>
            </a:ext>
          </a:extLst>
        </xdr:cNvPr>
        <xdr:cNvSpPr/>
      </xdr:nvSpPr>
      <xdr:spPr>
        <a:xfrm>
          <a:off x="4324350" y="18811875"/>
          <a:ext cx="323850" cy="1524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13</xdr:col>
      <xdr:colOff>1390650</xdr:colOff>
      <xdr:row>50</xdr:row>
      <xdr:rowOff>133350</xdr:rowOff>
    </xdr:from>
    <xdr:to>
      <xdr:col>14</xdr:col>
      <xdr:colOff>95250</xdr:colOff>
      <xdr:row>52</xdr:row>
      <xdr:rowOff>142875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id="{11083177-CC1A-4C90-8A7E-61B48508AA3E}"/>
            </a:ext>
            <a:ext uri="{147F2762-F138-4A5C-976F-8EAC2B608ADB}">
              <a16:predDERef xmlns:a16="http://schemas.microsoft.com/office/drawing/2014/main" pred="{49671F23-0755-44AC-AB6B-34C8D2C48DFB}"/>
            </a:ext>
          </a:extLst>
        </xdr:cNvPr>
        <xdr:cNvSpPr/>
      </xdr:nvSpPr>
      <xdr:spPr>
        <a:xfrm rot="5400000">
          <a:off x="11158537" y="13111163"/>
          <a:ext cx="523875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23</xdr:col>
      <xdr:colOff>1419225</xdr:colOff>
      <xdr:row>50</xdr:row>
      <xdr:rowOff>104775</xdr:rowOff>
    </xdr:from>
    <xdr:to>
      <xdr:col>24</xdr:col>
      <xdr:colOff>123825</xdr:colOff>
      <xdr:row>52</xdr:row>
      <xdr:rowOff>114300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6ACF9E81-6ADD-439C-A3F4-5F14E320ED05}"/>
            </a:ext>
            <a:ext uri="{147F2762-F138-4A5C-976F-8EAC2B608ADB}">
              <a16:predDERef xmlns:a16="http://schemas.microsoft.com/office/drawing/2014/main" pred="{11083177-CC1A-4C90-8A7E-61B48508AA3E}"/>
            </a:ext>
          </a:extLst>
        </xdr:cNvPr>
        <xdr:cNvSpPr/>
      </xdr:nvSpPr>
      <xdr:spPr>
        <a:xfrm rot="5400000">
          <a:off x="19226212" y="13082588"/>
          <a:ext cx="523875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13</xdr:row>
      <xdr:rowOff>9525</xdr:rowOff>
    </xdr:from>
    <xdr:to>
      <xdr:col>14</xdr:col>
      <xdr:colOff>600075</xdr:colOff>
      <xdr:row>32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2D1C92-761C-43A7-B933-DE766C3F67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19050</xdr:colOff>
      <xdr:row>35</xdr:row>
      <xdr:rowOff>0</xdr:rowOff>
    </xdr:from>
    <xdr:to>
      <xdr:col>14</xdr:col>
      <xdr:colOff>581025</xdr:colOff>
      <xdr:row>54</xdr:row>
      <xdr:rowOff>161925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7626BA86-A8AE-4672-9CFD-FEF02A8E11B8}"/>
            </a:ext>
            <a:ext uri="{147F2762-F138-4A5C-976F-8EAC2B608ADB}">
              <a16:predDERef xmlns:a16="http://schemas.microsoft.com/office/drawing/2014/main" pred="{002D1C92-761C-43A7-B933-DE766C3F67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</xdr:colOff>
      <xdr:row>57</xdr:row>
      <xdr:rowOff>0</xdr:rowOff>
    </xdr:from>
    <xdr:to>
      <xdr:col>14</xdr:col>
      <xdr:colOff>590550</xdr:colOff>
      <xdr:row>76</xdr:row>
      <xdr:rowOff>171450</xdr:rowOff>
    </xdr:to>
    <xdr:graphicFrame macro="">
      <xdr:nvGraphicFramePr>
        <xdr:cNvPr id="4" name="Chart 6">
          <a:extLst>
            <a:ext uri="{FF2B5EF4-FFF2-40B4-BE49-F238E27FC236}">
              <a16:creationId xmlns:a16="http://schemas.microsoft.com/office/drawing/2014/main" id="{ED7EA4D7-F50B-491F-90B9-24B9529B3E0E}"/>
            </a:ext>
            <a:ext uri="{147F2762-F138-4A5C-976F-8EAC2B608ADB}">
              <a16:predDERef xmlns:a16="http://schemas.microsoft.com/office/drawing/2014/main" pred="{7626BA86-A8AE-4672-9CFD-FEF02A8E11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48.959226041668" createdVersion="8" refreshedVersion="8" minRefreshableVersion="3" recordCount="56" xr:uid="{88CBC15E-C58E-4885-A3CA-30099C964F3F}">
  <cacheSource type="worksheet">
    <worksheetSource name="Table7"/>
  </cacheSource>
  <cacheFields count="8">
    <cacheField name="Date" numFmtId="14">
      <sharedItems containsNonDate="0" containsDate="1" containsString="0" containsBlank="1" minDate="2026-08-03T00:00:00" maxDate="2026-08-11T00:00:00" count="9"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m/>
      </sharedItems>
    </cacheField>
    <cacheField name="Product" numFmtId="0">
      <sharedItems containsBlank="1" count="46">
        <s v="1&quot; Pipe"/>
        <s v="Loose Pipe"/>
        <s v="1&quot; Ball Valve"/>
        <s v="Handpump"/>
        <s v="Solvent 10ml"/>
        <s v="Aree Blade"/>
        <s v="Shower"/>
        <s v="Tap"/>
        <s v="3&quot; Bocket"/>
        <s v="4&quot; Pipe"/>
        <s v="4&quot; Coupler"/>
        <s v="4&quot; Band"/>
        <s v="4&quot; Tee"/>
        <s v="Solvent PVC"/>
        <s v="M-Seal"/>
        <s v="Tank Cover"/>
        <s v="3&quot; Pipe"/>
        <s v="3&quot; Coupler"/>
        <s v="3&quot; Band"/>
        <s v="3&quot; Tee"/>
        <s v="3&quot; Hook"/>
        <s v="3&quot; End Cap"/>
        <s v="Angle Cock"/>
        <s v="Connection Pipe"/>
        <s v="Stand Besin"/>
        <s v="Waste Pipe"/>
        <s v="1/2&quot;x12&quot; Nepul"/>
        <s v="White Cement"/>
        <s v="1&quot; Elbow"/>
        <s v="1&quot; Coupler"/>
        <s v="Solvent"/>
        <s v="PVC Hook"/>
        <s v="Flusher"/>
        <s v="Fan Hook"/>
        <s v="4&quot; Blade"/>
        <s v="Long Tap"/>
        <s v="1/2&quot; Pipe"/>
        <s v="5&quot; Syphan"/>
        <s v="1&quot;x4&quot; Nepul"/>
        <s v="1½&quot;x3/4&quot; Rodiser"/>
        <s v="1½&quot;x6&quot; Nepul"/>
        <s v="3/4&quot; Checkvalve"/>
        <s v="3/4&quot;x3&quot; Nepul"/>
        <s v="Suta"/>
        <s v="Plumber Masala"/>
        <m/>
      </sharedItems>
    </cacheField>
    <cacheField name="Quantity" numFmtId="0">
      <sharedItems containsString="0" containsBlank="1" containsNumber="1" containsInteger="1" minValue="1" maxValue="20"/>
    </cacheField>
    <cacheField name="Sell_Price" numFmtId="164">
      <sharedItems containsString="0" containsBlank="1" containsNumber="1" containsInteger="1" minValue="4" maxValue="1900"/>
    </cacheField>
    <cacheField name="Cost_Price" numFmtId="164">
      <sharedItems containsString="0" containsBlank="1" containsNumber="1" minValue="1.6" maxValue="1772"/>
    </cacheField>
    <cacheField name="Profit" numFmtId="164">
      <sharedItems containsSemiMixedTypes="0" containsString="0" containsNumber="1" minValue="0" maxValue="350"/>
    </cacheField>
    <cacheField name="Day" numFmtId="0">
      <sharedItems count="7">
        <s v="Monday"/>
        <s v="Tuesday"/>
        <s v="Wednesday"/>
        <s v="Thursday"/>
        <s v="Friday"/>
        <s v="Saturday"/>
        <s v="Sunday"/>
      </sharedItems>
    </cacheField>
    <cacheField name="Week" numFmtId="164">
      <sharedItems count="3">
        <s v="Week 1"/>
        <s v="Week 2"/>
        <s v="Week -660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n v="6"/>
    <n v="270"/>
    <n v="253"/>
    <n v="102"/>
    <x v="0"/>
    <x v="0"/>
  </r>
  <r>
    <x v="0"/>
    <x v="1"/>
    <n v="1"/>
    <n v="1100"/>
    <n v="980"/>
    <n v="120"/>
    <x v="0"/>
    <x v="0"/>
  </r>
  <r>
    <x v="0"/>
    <x v="2"/>
    <n v="2"/>
    <n v="260"/>
    <n v="234"/>
    <n v="52"/>
    <x v="0"/>
    <x v="0"/>
  </r>
  <r>
    <x v="0"/>
    <x v="3"/>
    <n v="1"/>
    <n v="1300"/>
    <n v="1180"/>
    <n v="120"/>
    <x v="0"/>
    <x v="0"/>
  </r>
  <r>
    <x v="0"/>
    <x v="4"/>
    <n v="4"/>
    <n v="40"/>
    <n v="33"/>
    <n v="28"/>
    <x v="0"/>
    <x v="0"/>
  </r>
  <r>
    <x v="0"/>
    <x v="5"/>
    <n v="8"/>
    <n v="10"/>
    <n v="9.1"/>
    <n v="7.2000000000000028"/>
    <x v="0"/>
    <x v="0"/>
  </r>
  <r>
    <x v="0"/>
    <x v="6"/>
    <n v="1"/>
    <n v="350"/>
    <n v="280"/>
    <n v="70"/>
    <x v="0"/>
    <x v="0"/>
  </r>
  <r>
    <x v="0"/>
    <x v="7"/>
    <n v="6"/>
    <n v="60"/>
    <n v="51"/>
    <n v="54"/>
    <x v="0"/>
    <x v="0"/>
  </r>
  <r>
    <x v="0"/>
    <x v="8"/>
    <n v="3"/>
    <n v="60"/>
    <n v="57"/>
    <n v="9"/>
    <x v="0"/>
    <x v="0"/>
  </r>
  <r>
    <x v="1"/>
    <x v="9"/>
    <n v="6"/>
    <n v="550"/>
    <n v="523"/>
    <n v="162"/>
    <x v="1"/>
    <x v="0"/>
  </r>
  <r>
    <x v="1"/>
    <x v="10"/>
    <n v="6"/>
    <n v="90"/>
    <n v="78"/>
    <n v="72"/>
    <x v="1"/>
    <x v="0"/>
  </r>
  <r>
    <x v="1"/>
    <x v="11"/>
    <n v="4"/>
    <n v="110"/>
    <n v="89"/>
    <n v="84"/>
    <x v="1"/>
    <x v="0"/>
  </r>
  <r>
    <x v="1"/>
    <x v="12"/>
    <n v="2"/>
    <n v="140"/>
    <n v="125"/>
    <n v="30"/>
    <x v="1"/>
    <x v="0"/>
  </r>
  <r>
    <x v="1"/>
    <x v="13"/>
    <n v="2"/>
    <n v="35"/>
    <n v="28"/>
    <n v="14"/>
    <x v="1"/>
    <x v="0"/>
  </r>
  <r>
    <x v="1"/>
    <x v="7"/>
    <n v="3"/>
    <n v="60"/>
    <n v="51"/>
    <n v="27"/>
    <x v="1"/>
    <x v="0"/>
  </r>
  <r>
    <x v="1"/>
    <x v="14"/>
    <n v="7"/>
    <n v="10"/>
    <n v="8"/>
    <n v="14"/>
    <x v="1"/>
    <x v="0"/>
  </r>
  <r>
    <x v="1"/>
    <x v="15"/>
    <n v="2"/>
    <n v="700"/>
    <n v="560"/>
    <n v="280"/>
    <x v="1"/>
    <x v="0"/>
  </r>
  <r>
    <x v="2"/>
    <x v="16"/>
    <n v="2"/>
    <n v="330"/>
    <n v="297"/>
    <n v="66"/>
    <x v="2"/>
    <x v="0"/>
  </r>
  <r>
    <x v="2"/>
    <x v="17"/>
    <n v="5"/>
    <n v="50"/>
    <n v="39"/>
    <n v="55"/>
    <x v="2"/>
    <x v="0"/>
  </r>
  <r>
    <x v="2"/>
    <x v="18"/>
    <n v="6"/>
    <n v="60"/>
    <n v="52"/>
    <n v="48"/>
    <x v="2"/>
    <x v="0"/>
  </r>
  <r>
    <x v="2"/>
    <x v="19"/>
    <n v="2"/>
    <n v="110"/>
    <n v="92"/>
    <n v="36"/>
    <x v="2"/>
    <x v="0"/>
  </r>
  <r>
    <x v="2"/>
    <x v="13"/>
    <n v="2"/>
    <n v="35"/>
    <n v="28"/>
    <n v="14"/>
    <x v="2"/>
    <x v="0"/>
  </r>
  <r>
    <x v="2"/>
    <x v="20"/>
    <n v="6"/>
    <n v="20"/>
    <n v="16.5"/>
    <n v="21"/>
    <x v="2"/>
    <x v="0"/>
  </r>
  <r>
    <x v="2"/>
    <x v="21"/>
    <n v="2"/>
    <n v="50"/>
    <n v="34"/>
    <n v="32"/>
    <x v="2"/>
    <x v="0"/>
  </r>
  <r>
    <x v="3"/>
    <x v="22"/>
    <n v="2"/>
    <n v="70"/>
    <n v="46"/>
    <n v="48"/>
    <x v="3"/>
    <x v="0"/>
  </r>
  <r>
    <x v="3"/>
    <x v="23"/>
    <n v="2"/>
    <n v="110"/>
    <n v="63"/>
    <n v="94"/>
    <x v="3"/>
    <x v="0"/>
  </r>
  <r>
    <x v="3"/>
    <x v="24"/>
    <n v="2"/>
    <n v="1900"/>
    <n v="1772"/>
    <n v="256"/>
    <x v="3"/>
    <x v="0"/>
  </r>
  <r>
    <x v="3"/>
    <x v="25"/>
    <n v="2"/>
    <n v="90"/>
    <n v="71"/>
    <n v="38"/>
    <x v="3"/>
    <x v="0"/>
  </r>
  <r>
    <x v="3"/>
    <x v="26"/>
    <n v="4"/>
    <n v="120"/>
    <n v="96"/>
    <n v="96"/>
    <x v="3"/>
    <x v="0"/>
  </r>
  <r>
    <x v="3"/>
    <x v="27"/>
    <n v="2"/>
    <n v="40"/>
    <n v="27"/>
    <n v="26"/>
    <x v="3"/>
    <x v="0"/>
  </r>
  <r>
    <x v="4"/>
    <x v="0"/>
    <n v="8"/>
    <n v="270"/>
    <n v="253"/>
    <n v="136"/>
    <x v="4"/>
    <x v="0"/>
  </r>
  <r>
    <x v="4"/>
    <x v="28"/>
    <n v="15"/>
    <n v="30"/>
    <n v="23.5"/>
    <n v="97.5"/>
    <x v="4"/>
    <x v="0"/>
  </r>
  <r>
    <x v="4"/>
    <x v="29"/>
    <n v="8"/>
    <n v="25"/>
    <n v="22"/>
    <n v="24"/>
    <x v="4"/>
    <x v="0"/>
  </r>
  <r>
    <x v="4"/>
    <x v="30"/>
    <n v="2"/>
    <n v="160"/>
    <n v="122"/>
    <n v="76"/>
    <x v="4"/>
    <x v="0"/>
  </r>
  <r>
    <x v="4"/>
    <x v="31"/>
    <n v="20"/>
    <n v="4"/>
    <n v="1.6"/>
    <n v="48"/>
    <x v="4"/>
    <x v="0"/>
  </r>
  <r>
    <x v="4"/>
    <x v="32"/>
    <n v="1"/>
    <n v="1200"/>
    <n v="980"/>
    <n v="220"/>
    <x v="4"/>
    <x v="0"/>
  </r>
  <r>
    <x v="5"/>
    <x v="33"/>
    <n v="3"/>
    <n v="50"/>
    <n v="39.5"/>
    <n v="31.5"/>
    <x v="5"/>
    <x v="0"/>
  </r>
  <r>
    <x v="5"/>
    <x v="34"/>
    <n v="6"/>
    <n v="10"/>
    <n v="9.1"/>
    <n v="5.4000000000000021"/>
    <x v="5"/>
    <x v="0"/>
  </r>
  <r>
    <x v="5"/>
    <x v="35"/>
    <n v="2"/>
    <n v="110"/>
    <n v="73"/>
    <n v="74"/>
    <x v="5"/>
    <x v="0"/>
  </r>
  <r>
    <x v="5"/>
    <x v="36"/>
    <n v="3"/>
    <n v="130"/>
    <n v="112"/>
    <n v="54"/>
    <x v="5"/>
    <x v="0"/>
  </r>
  <r>
    <x v="5"/>
    <x v="7"/>
    <n v="5"/>
    <n v="60"/>
    <n v="51"/>
    <n v="45"/>
    <x v="5"/>
    <x v="0"/>
  </r>
  <r>
    <x v="5"/>
    <x v="34"/>
    <n v="15"/>
    <n v="10"/>
    <n v="9.1"/>
    <n v="13.500000000000005"/>
    <x v="5"/>
    <x v="0"/>
  </r>
  <r>
    <x v="5"/>
    <x v="15"/>
    <n v="2"/>
    <n v="420"/>
    <n v="370"/>
    <n v="100"/>
    <x v="5"/>
    <x v="0"/>
  </r>
  <r>
    <x v="5"/>
    <x v="4"/>
    <n v="6"/>
    <n v="20"/>
    <n v="14"/>
    <n v="36"/>
    <x v="5"/>
    <x v="0"/>
  </r>
  <r>
    <x v="5"/>
    <x v="37"/>
    <n v="1"/>
    <n v="380"/>
    <n v="340"/>
    <n v="40"/>
    <x v="5"/>
    <x v="0"/>
  </r>
  <r>
    <x v="6"/>
    <x v="3"/>
    <n v="2"/>
    <n v="1300"/>
    <n v="1125"/>
    <n v="350"/>
    <x v="6"/>
    <x v="0"/>
  </r>
  <r>
    <x v="6"/>
    <x v="8"/>
    <n v="1"/>
    <n v="60"/>
    <n v="57"/>
    <n v="3"/>
    <x v="6"/>
    <x v="0"/>
  </r>
  <r>
    <x v="6"/>
    <x v="38"/>
    <n v="1"/>
    <n v="60"/>
    <n v="40"/>
    <n v="20"/>
    <x v="6"/>
    <x v="0"/>
  </r>
  <r>
    <x v="6"/>
    <x v="39"/>
    <n v="1"/>
    <n v="120"/>
    <n v="77"/>
    <n v="43"/>
    <x v="6"/>
    <x v="0"/>
  </r>
  <r>
    <x v="6"/>
    <x v="40"/>
    <n v="1"/>
    <n v="150"/>
    <n v="114"/>
    <n v="36"/>
    <x v="6"/>
    <x v="0"/>
  </r>
  <r>
    <x v="6"/>
    <x v="41"/>
    <n v="1"/>
    <n v="550"/>
    <n v="480"/>
    <n v="70"/>
    <x v="6"/>
    <x v="0"/>
  </r>
  <r>
    <x v="6"/>
    <x v="42"/>
    <n v="2"/>
    <n v="36"/>
    <n v="27"/>
    <n v="18"/>
    <x v="6"/>
    <x v="0"/>
  </r>
  <r>
    <x v="6"/>
    <x v="43"/>
    <n v="4"/>
    <n v="5"/>
    <n v="2.2999999999999998"/>
    <n v="10.8"/>
    <x v="6"/>
    <x v="0"/>
  </r>
  <r>
    <x v="6"/>
    <x v="44"/>
    <n v="3"/>
    <n v="20"/>
    <n v="15.5"/>
    <n v="13.5"/>
    <x v="6"/>
    <x v="0"/>
  </r>
  <r>
    <x v="7"/>
    <x v="45"/>
    <m/>
    <m/>
    <m/>
    <n v="0"/>
    <x v="0"/>
    <x v="1"/>
  </r>
  <r>
    <x v="8"/>
    <x v="45"/>
    <m/>
    <m/>
    <m/>
    <n v="0"/>
    <x v="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E6BD25-FB00-4E73-B338-12E63E2BFB3F}" name="PivotTable3" cacheId="2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X4:Y50" firstHeaderRow="1" firstDataRow="1" firstDataCol="1" rowPageCount="1" colPageCount="1"/>
  <pivotFields count="8">
    <pivotField compact="0" outline="0" showAll="0"/>
    <pivotField axis="axisRow" compact="0" outline="0" showAll="0" sortType="descending">
      <items count="47">
        <item x="2"/>
        <item x="29"/>
        <item x="28"/>
        <item x="0"/>
        <item x="38"/>
        <item x="36"/>
        <item x="26"/>
        <item x="39"/>
        <item x="40"/>
        <item x="18"/>
        <item x="8"/>
        <item x="17"/>
        <item x="21"/>
        <item x="20"/>
        <item x="16"/>
        <item x="19"/>
        <item x="41"/>
        <item x="42"/>
        <item x="11"/>
        <item x="34"/>
        <item x="10"/>
        <item x="9"/>
        <item x="12"/>
        <item x="37"/>
        <item x="22"/>
        <item x="5"/>
        <item x="23"/>
        <item x="33"/>
        <item x="32"/>
        <item x="3"/>
        <item x="35"/>
        <item x="1"/>
        <item x="14"/>
        <item x="44"/>
        <item x="31"/>
        <item x="6"/>
        <item x="30"/>
        <item x="4"/>
        <item x="13"/>
        <item x="24"/>
        <item x="43"/>
        <item x="15"/>
        <item x="7"/>
        <item x="25"/>
        <item x="27"/>
        <item x="4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axis="axisPage" compact="0" outline="0" showAll="0">
      <items count="4">
        <item x="0"/>
        <item h="1" x="1"/>
        <item h="1" x="2"/>
        <item t="default"/>
      </items>
    </pivotField>
  </pivotFields>
  <rowFields count="1">
    <field x="1"/>
  </rowFields>
  <rowItems count="46">
    <i>
      <x v="19"/>
    </i>
    <i>
      <x v="34"/>
    </i>
    <i>
      <x v="2"/>
    </i>
    <i>
      <x v="3"/>
    </i>
    <i>
      <x v="42"/>
    </i>
    <i>
      <x v="37"/>
    </i>
    <i>
      <x v="25"/>
    </i>
    <i>
      <x v="1"/>
    </i>
    <i>
      <x v="32"/>
    </i>
    <i>
      <x v="9"/>
    </i>
    <i>
      <x v="20"/>
    </i>
    <i>
      <x v="13"/>
    </i>
    <i>
      <x v="21"/>
    </i>
    <i>
      <x v="11"/>
    </i>
    <i>
      <x v="18"/>
    </i>
    <i>
      <x v="38"/>
    </i>
    <i>
      <x v="6"/>
    </i>
    <i>
      <x v="10"/>
    </i>
    <i>
      <x v="40"/>
    </i>
    <i>
      <x v="41"/>
    </i>
    <i>
      <x v="33"/>
    </i>
    <i>
      <x v="5"/>
    </i>
    <i>
      <x v="27"/>
    </i>
    <i>
      <x v="29"/>
    </i>
    <i>
      <x v="39"/>
    </i>
    <i>
      <x v="17"/>
    </i>
    <i>
      <x v="43"/>
    </i>
    <i>
      <x v="12"/>
    </i>
    <i>
      <x v="26"/>
    </i>
    <i>
      <x v="24"/>
    </i>
    <i>
      <x/>
    </i>
    <i>
      <x v="44"/>
    </i>
    <i>
      <x v="15"/>
    </i>
    <i>
      <x v="36"/>
    </i>
    <i>
      <x v="14"/>
    </i>
    <i>
      <x v="30"/>
    </i>
    <i>
      <x v="22"/>
    </i>
    <i>
      <x v="28"/>
    </i>
    <i>
      <x v="8"/>
    </i>
    <i>
      <x v="7"/>
    </i>
    <i>
      <x v="4"/>
    </i>
    <i>
      <x v="35"/>
    </i>
    <i>
      <x v="31"/>
    </i>
    <i>
      <x v="23"/>
    </i>
    <i>
      <x v="16"/>
    </i>
    <i t="grand">
      <x/>
    </i>
  </rowItems>
  <colItems count="1">
    <i/>
  </colItems>
  <pageFields count="1">
    <pageField fld="7" item="0" hier="-1"/>
  </pageFields>
  <dataFields count="1">
    <dataField name="Units Sold" fld="2" baseField="0" baseItem="0"/>
  </dataFields>
  <formats count="7">
    <format dxfId="111">
      <pivotArea outline="0" fieldPosition="0">
        <references count="1">
          <reference field="1" count="1" selected="0">
            <x v="19"/>
          </reference>
        </references>
      </pivotArea>
    </format>
    <format dxfId="112">
      <pivotArea outline="0" fieldPosition="0">
        <references count="1">
          <reference field="1" count="1" selected="0">
            <x v="19"/>
          </reference>
        </references>
      </pivotArea>
    </format>
    <format dxfId="113">
      <pivotArea outline="0" fieldPosition="0">
        <references count="1">
          <reference field="1" count="1" selected="0">
            <x v="19"/>
          </reference>
        </references>
      </pivotArea>
    </format>
    <format dxfId="114">
      <pivotArea outline="0" fieldPosition="0">
        <references count="1">
          <reference field="1" count="1" selected="0">
            <x v="19"/>
          </reference>
        </references>
      </pivotArea>
    </format>
    <format dxfId="115">
      <pivotArea outline="0" fieldPosition="0">
        <references count="1">
          <reference field="1" count="1" selected="0">
            <x v="19"/>
          </reference>
        </references>
      </pivotArea>
    </format>
    <format dxfId="116">
      <pivotArea outline="0" fieldPosition="0">
        <references count="1">
          <reference field="1" count="1" selected="0">
            <x v="19"/>
          </reference>
        </references>
      </pivotArea>
    </format>
    <format dxfId="117">
      <pivotArea outline="0" fieldPosition="0">
        <references count="1">
          <reference field="1" count="1" selected="0">
            <x v="19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195C2F-DAB4-4D2B-A2CF-5F25566AB21A}" name="PivotTable2" cacheId="2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N4:O50" firstHeaderRow="1" firstDataRow="1" firstDataCol="1" rowPageCount="1" colPageCount="1"/>
  <pivotFields count="8">
    <pivotField compact="0" outline="0" showAll="0"/>
    <pivotField axis="axisRow" compact="0" outline="0" showAll="0" sortType="descending">
      <items count="47">
        <item x="45"/>
        <item x="27"/>
        <item x="25"/>
        <item x="7"/>
        <item x="15"/>
        <item x="43"/>
        <item x="24"/>
        <item x="13"/>
        <item x="4"/>
        <item x="30"/>
        <item x="6"/>
        <item x="31"/>
        <item x="44"/>
        <item x="14"/>
        <item x="1"/>
        <item x="35"/>
        <item x="3"/>
        <item x="32"/>
        <item x="33"/>
        <item x="23"/>
        <item x="5"/>
        <item x="22"/>
        <item x="37"/>
        <item x="12"/>
        <item x="9"/>
        <item x="10"/>
        <item x="34"/>
        <item x="11"/>
        <item x="42"/>
        <item x="41"/>
        <item x="19"/>
        <item x="16"/>
        <item x="20"/>
        <item x="21"/>
        <item x="17"/>
        <item x="8"/>
        <item x="18"/>
        <item x="40"/>
        <item x="39"/>
        <item x="26"/>
        <item x="36"/>
        <item x="38"/>
        <item x="0"/>
        <item x="28"/>
        <item x="29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axis="axisPage" compact="0" outline="0" showAll="0">
      <items count="4">
        <item x="0"/>
        <item h="1" x="1"/>
        <item h="1" x="2"/>
        <item t="default"/>
      </items>
    </pivotField>
  </pivotFields>
  <rowFields count="1">
    <field x="1"/>
  </rowFields>
  <rowItems count="46">
    <i>
      <x v="16"/>
    </i>
    <i>
      <x v="4"/>
    </i>
    <i>
      <x v="6"/>
    </i>
    <i>
      <x v="42"/>
    </i>
    <i>
      <x v="17"/>
    </i>
    <i>
      <x v="24"/>
    </i>
    <i>
      <x v="3"/>
    </i>
    <i>
      <x v="14"/>
    </i>
    <i>
      <x v="43"/>
    </i>
    <i>
      <x v="39"/>
    </i>
    <i>
      <x v="19"/>
    </i>
    <i>
      <x v="27"/>
    </i>
    <i>
      <x v="9"/>
    </i>
    <i>
      <x v="15"/>
    </i>
    <i>
      <x v="25"/>
    </i>
    <i>
      <x v="29"/>
    </i>
    <i>
      <x v="10"/>
    </i>
    <i>
      <x v="31"/>
    </i>
    <i>
      <x v="8"/>
    </i>
    <i>
      <x v="34"/>
    </i>
    <i>
      <x v="40"/>
    </i>
    <i>
      <x v="45"/>
    </i>
    <i>
      <x v="11"/>
    </i>
    <i>
      <x v="36"/>
    </i>
    <i>
      <x v="21"/>
    </i>
    <i>
      <x v="38"/>
    </i>
    <i>
      <x v="22"/>
    </i>
    <i>
      <x v="2"/>
    </i>
    <i>
      <x v="37"/>
    </i>
    <i>
      <x v="30"/>
    </i>
    <i>
      <x v="33"/>
    </i>
    <i>
      <x v="18"/>
    </i>
    <i>
      <x v="23"/>
    </i>
    <i>
      <x v="7"/>
    </i>
    <i>
      <x v="1"/>
    </i>
    <i>
      <x v="44"/>
    </i>
    <i>
      <x v="32"/>
    </i>
    <i>
      <x v="41"/>
    </i>
    <i>
      <x v="26"/>
    </i>
    <i>
      <x v="28"/>
    </i>
    <i>
      <x v="13"/>
    </i>
    <i>
      <x v="12"/>
    </i>
    <i>
      <x v="35"/>
    </i>
    <i>
      <x v="5"/>
    </i>
    <i>
      <x v="20"/>
    </i>
    <i t="grand">
      <x/>
    </i>
  </rowItems>
  <colItems count="1">
    <i/>
  </colItems>
  <pageFields count="1">
    <pageField fld="7" item="0" hier="-1"/>
  </pageFields>
  <dataFields count="1">
    <dataField name="Total Profit" fld="5" baseField="0" baseItem="0" numFmtId="164"/>
  </dataFields>
  <formats count="26">
    <format dxfId="85">
      <pivotArea grandRow="1" outline="0" collapsedLevelsAreSubtotals="1" fieldPosition="0"/>
    </format>
    <format dxfId="86">
      <pivotArea grandRow="1" outline="0" collapsedLevelsAreSubtotals="1" fieldPosition="0"/>
    </format>
    <format dxfId="87">
      <pivotArea grandRow="1" outline="0" collapsedLevelsAreSubtotals="1" fieldPosition="0"/>
    </format>
    <format dxfId="88">
      <pivotArea grandRow="1" outline="0" collapsedLevelsAreSubtotals="1" fieldPosition="0"/>
    </format>
    <format dxfId="89">
      <pivotArea outline="0" collapsedLevelsAreSubtotals="1" fieldPosition="0"/>
    </format>
    <format dxfId="90">
      <pivotArea outline="0" collapsedLevelsAreSubtotals="1" fieldPosition="0"/>
    </format>
    <format dxfId="91">
      <pivotArea outline="0" collapsedLevelsAreSubtotals="1" fieldPosition="0"/>
    </format>
    <format dxfId="92">
      <pivotArea outline="0" collapsedLevelsAreSubtotals="1" fieldPosition="0"/>
    </format>
    <format dxfId="93">
      <pivotArea outline="0" collapsedLevelsAreSubtotals="1" fieldPosition="0"/>
    </format>
    <format dxfId="94">
      <pivotArea outline="0" collapsedLevelsAreSubtotals="1" fieldPosition="0"/>
    </format>
    <format dxfId="95">
      <pivotArea outline="0" collapsedLevelsAreSubtotals="1" fieldPosition="0"/>
    </format>
    <format dxfId="96">
      <pivotArea outline="0" collapsedLevelsAreSubtotals="1" fieldPosition="0"/>
    </format>
    <format dxfId="97">
      <pivotArea outline="0" collapsedLevelsAreSubtotals="1" fieldPosition="0"/>
    </format>
    <format dxfId="98">
      <pivotArea outline="0" collapsedLevelsAreSubtotals="1" fieldPosition="0"/>
    </format>
    <format dxfId="99">
      <pivotArea outline="0" collapsedLevelsAreSubtotals="1" fieldPosition="0"/>
    </format>
    <format dxfId="100">
      <pivotArea outline="0" collapsedLevelsAreSubtotals="1" fieldPosition="0"/>
    </format>
    <format dxfId="101">
      <pivotArea grandRow="1" outline="0" collapsedLevelsAreSubtotals="1" fieldPosition="0"/>
    </format>
    <format dxfId="102">
      <pivotArea grandRow="1" outline="0" collapsedLevelsAreSubtotals="1" fieldPosition="0"/>
    </format>
    <format dxfId="103">
      <pivotArea dataOnly="0" labelOnly="1" outline="0" axis="axisValues" fieldPosition="0"/>
    </format>
    <format dxfId="104">
      <pivotArea dataOnly="0" labelOnly="1" outline="0" axis="axisValues" fieldPosition="0"/>
    </format>
    <format dxfId="105">
      <pivotArea outline="0" collapsedLevelsAreSubtotals="1" fieldPosition="0"/>
    </format>
    <format dxfId="106">
      <pivotArea dataOnly="0" labelOnly="1" outline="0" fieldPosition="0">
        <references count="1">
          <reference field="7" count="1">
            <x v="0"/>
          </reference>
        </references>
      </pivotArea>
    </format>
    <format dxfId="107">
      <pivotArea dataOnly="0" labelOnly="1" outline="0" axis="axisValues" fieldPosition="0"/>
    </format>
    <format dxfId="108">
      <pivotArea outline="0" collapsedLevelsAreSubtotals="1" fieldPosition="0"/>
    </format>
    <format dxfId="109">
      <pivotArea dataOnly="0" labelOnly="1" outline="0" fieldPosition="0">
        <references count="1">
          <reference field="7" count="1">
            <x v="0"/>
          </reference>
        </references>
      </pivotArea>
    </format>
    <format dxfId="11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F2B841-6653-4101-B413-D6191E362FD4}" name="PivotTable1" cacheId="2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E4:F12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axis="axisRow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Page" compact="0" outline="0" showAll="0">
      <items count="4">
        <item x="0"/>
        <item h="1" x="1"/>
        <item h="1" x="2"/>
        <item t="default"/>
      </items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7" item="0" hier="-1"/>
  </pageFields>
  <dataFields count="1">
    <dataField name="Daily Profit" fld="5" baseField="0" baseItem="0" numFmtId="164"/>
  </dataFields>
  <formats count="74">
    <format dxfId="11">
      <pivotArea field="6" type="button" dataOnly="0" labelOnly="1" outline="0" axis="axisRow" fieldPosition="0"/>
    </format>
    <format dxfId="12">
      <pivotArea dataOnly="0" labelOnly="1" outline="0" axis="axisValues" fieldPosition="0"/>
    </format>
    <format dxfId="13">
      <pivotArea field="6" type="button" dataOnly="0" labelOnly="1" outline="0" axis="axisRow" fieldPosition="0"/>
    </format>
    <format dxfId="14">
      <pivotArea dataOnly="0" labelOnly="1" outline="0" axis="axisValues" fieldPosition="0"/>
    </format>
    <format dxfId="15">
      <pivotArea field="6" type="button" dataOnly="0" labelOnly="1" outline="0" axis="axisRow" fieldPosition="0"/>
    </format>
    <format dxfId="16">
      <pivotArea dataOnly="0" labelOnly="1" outline="0" axis="axisValues" fieldPosition="0"/>
    </format>
    <format dxfId="17">
      <pivotArea dataOnly="0" labelOnly="1" outline="0" axis="axisValues" fieldPosition="0"/>
    </format>
    <format dxfId="18">
      <pivotArea field="6" type="button" dataOnly="0" labelOnly="1" outline="0" axis="axisRow" fieldPosition="0"/>
    </format>
    <format dxfId="19">
      <pivotArea dataOnly="0" labelOnly="1" outline="0" axis="axisValues" fieldPosition="0"/>
    </format>
    <format dxfId="20">
      <pivotArea dataOnly="0" labelOnly="1" outline="0" axis="axisValues" fieldPosition="0"/>
    </format>
    <format dxfId="21">
      <pivotArea outline="0" collapsedLevelsAreSubtotals="1" fieldPosition="0"/>
    </format>
    <format dxfId="22">
      <pivotArea dataOnly="0" labelOnly="1" outline="0" fieldPosition="0">
        <references count="1">
          <reference field="6" count="0"/>
        </references>
      </pivotArea>
    </format>
    <format dxfId="23">
      <pivotArea dataOnly="0" labelOnly="1" grandRow="1" outline="0" fieldPosition="0"/>
    </format>
    <format dxfId="24">
      <pivotArea outline="0" collapsedLevelsAreSubtotals="1" fieldPosition="0"/>
    </format>
    <format dxfId="25">
      <pivotArea dataOnly="0" labelOnly="1" outline="0" fieldPosition="0">
        <references count="1">
          <reference field="6" count="0"/>
        </references>
      </pivotArea>
    </format>
    <format dxfId="26">
      <pivotArea dataOnly="0" labelOnly="1" grandRow="1" outline="0" fieldPosition="0"/>
    </format>
    <format dxfId="27">
      <pivotArea outline="0" collapsedLevelsAreSubtotals="1" fieldPosition="0"/>
    </format>
    <format dxfId="28">
      <pivotArea dataOnly="0" labelOnly="1" outline="0" fieldPosition="0">
        <references count="1">
          <reference field="6" count="0"/>
        </references>
      </pivotArea>
    </format>
    <format dxfId="29">
      <pivotArea dataOnly="0" labelOnly="1" grandRow="1" outline="0" fieldPosition="0"/>
    </format>
    <format dxfId="30">
      <pivotArea outline="0" collapsedLevelsAreSubtotals="1" fieldPosition="0"/>
    </format>
    <format dxfId="31">
      <pivotArea dataOnly="0" labelOnly="1" outline="0" fieldPosition="0">
        <references count="1">
          <reference field="6" count="0"/>
        </references>
      </pivotArea>
    </format>
    <format dxfId="32">
      <pivotArea dataOnly="0" labelOnly="1" grandRow="1" outline="0" fieldPosition="0"/>
    </format>
    <format dxfId="33">
      <pivotArea outline="0" collapsedLevelsAreSubtotals="1" fieldPosition="0"/>
    </format>
    <format dxfId="34">
      <pivotArea dataOnly="0" labelOnly="1" outline="0" fieldPosition="0">
        <references count="1">
          <reference field="6" count="0"/>
        </references>
      </pivotArea>
    </format>
    <format dxfId="35">
      <pivotArea dataOnly="0" labelOnly="1" grandRow="1" outline="0" fieldPosition="0"/>
    </format>
    <format dxfId="36">
      <pivotArea outline="0" collapsedLevelsAreSubtotals="1" fieldPosition="0"/>
    </format>
    <format dxfId="37">
      <pivotArea dataOnly="0" labelOnly="1" outline="0" fieldPosition="0">
        <references count="1">
          <reference field="6" count="0"/>
        </references>
      </pivotArea>
    </format>
    <format dxfId="38">
      <pivotArea dataOnly="0" labelOnly="1" grandRow="1" outline="0" fieldPosition="0"/>
    </format>
    <format dxfId="39">
      <pivotArea outline="0" collapsedLevelsAreSubtotals="1" fieldPosition="0"/>
    </format>
    <format dxfId="40">
      <pivotArea dataOnly="0" labelOnly="1" outline="0" fieldPosition="0">
        <references count="1">
          <reference field="6" count="0"/>
        </references>
      </pivotArea>
    </format>
    <format dxfId="41">
      <pivotArea dataOnly="0" labelOnly="1" grandRow="1" outline="0" fieldPosition="0"/>
    </format>
    <format dxfId="42">
      <pivotArea outline="0" collapsedLevelsAreSubtotals="1" fieldPosition="0"/>
    </format>
    <format dxfId="43">
      <pivotArea dataOnly="0" labelOnly="1" outline="0" fieldPosition="0">
        <references count="1">
          <reference field="6" count="0"/>
        </references>
      </pivotArea>
    </format>
    <format dxfId="44">
      <pivotArea dataOnly="0" labelOnly="1" grandRow="1" outline="0" fieldPosition="0"/>
    </format>
    <format dxfId="45">
      <pivotArea outline="0" collapsedLevelsAreSubtotals="1" fieldPosition="0"/>
    </format>
    <format dxfId="46">
      <pivotArea outline="0" collapsedLevelsAreSubtotals="1" fieldPosition="0"/>
    </format>
    <format dxfId="47">
      <pivotArea outline="0" collapsedLevelsAreSubtotals="1" fieldPosition="0"/>
    </format>
    <format dxfId="48">
      <pivotArea outline="0" collapsedLevelsAreSubtotals="1" fieldPosition="0"/>
    </format>
    <format dxfId="49">
      <pivotArea outline="0" collapsedLevelsAreSubtotals="1" fieldPosition="0"/>
    </format>
    <format dxfId="50">
      <pivotArea outline="0" collapsedLevelsAreSubtotals="1" fieldPosition="0"/>
    </format>
    <format dxfId="51">
      <pivotArea outline="0" collapsedLevelsAreSubtotals="1" fieldPosition="0"/>
    </format>
    <format dxfId="52">
      <pivotArea outline="0" collapsedLevelsAreSubtotals="1" fieldPosition="0"/>
    </format>
    <format dxfId="53">
      <pivotArea outline="0" collapsedLevelsAreSubtotals="1" fieldPosition="0"/>
    </format>
    <format dxfId="54">
      <pivotArea outline="0" collapsedLevelsAreSubtotals="1" fieldPosition="0"/>
    </format>
    <format dxfId="55">
      <pivotArea outline="0" collapsedLevelsAreSubtotals="1" fieldPosition="0"/>
    </format>
    <format dxfId="56">
      <pivotArea outline="0" collapsedLevelsAreSubtotals="1" fieldPosition="0"/>
    </format>
    <format dxfId="57">
      <pivotArea outline="0" collapsedLevelsAreSubtotals="1" fieldPosition="0"/>
    </format>
    <format dxfId="58">
      <pivotArea outline="0" fieldPosition="0">
        <references count="1">
          <reference field="6" count="0" selected="0"/>
        </references>
      </pivotArea>
    </format>
    <format dxfId="59">
      <pivotArea outline="0" fieldPosition="0">
        <references count="1">
          <reference field="6" count="0" selected="0"/>
        </references>
      </pivotArea>
    </format>
    <format dxfId="60">
      <pivotArea outline="0" fieldPosition="0">
        <references count="1">
          <reference field="6" count="0" selected="0"/>
        </references>
      </pivotArea>
    </format>
    <format dxfId="61">
      <pivotArea dataOnly="0" labelOnly="1" outline="0" axis="axisValues" fieldPosition="0"/>
    </format>
    <format dxfId="62">
      <pivotArea dataOnly="0" labelOnly="1" outline="0" axis="axisValues" fieldPosition="0"/>
    </format>
    <format dxfId="63">
      <pivotArea outline="0" collapsedLevelsAreSubtotals="1" fieldPosition="0"/>
    </format>
    <format dxfId="64">
      <pivotArea dataOnly="0" labelOnly="1" outline="0" fieldPosition="0">
        <references count="1">
          <reference field="6" count="0"/>
        </references>
      </pivotArea>
    </format>
    <format dxfId="65">
      <pivotArea dataOnly="0" labelOnly="1" grandRow="1" outline="0" fieldPosition="0"/>
    </format>
    <format dxfId="66">
      <pivotArea type="all" dataOnly="0" outline="0" fieldPosition="0"/>
    </format>
    <format dxfId="67">
      <pivotArea outline="0" collapsedLevelsAreSubtotals="1" fieldPosition="0"/>
    </format>
    <format dxfId="68">
      <pivotArea field="6" type="button" dataOnly="0" labelOnly="1" outline="0" axis="axisRow" fieldPosition="0"/>
    </format>
    <format dxfId="69">
      <pivotArea dataOnly="0" labelOnly="1" outline="0" fieldPosition="0">
        <references count="1">
          <reference field="6" count="0"/>
        </references>
      </pivotArea>
    </format>
    <format dxfId="70">
      <pivotArea dataOnly="0" labelOnly="1" grandRow="1" outline="0" fieldPosition="0"/>
    </format>
    <format dxfId="71">
      <pivotArea dataOnly="0" labelOnly="1" outline="0" axis="axisValues" fieldPosition="0"/>
    </format>
    <format dxfId="72">
      <pivotArea dataOnly="0" labelOnly="1" outline="0" axis="axisValues" fieldPosition="0"/>
    </format>
    <format dxfId="73">
      <pivotArea dataOnly="0" labelOnly="1" outline="0" axis="axisValues" fieldPosition="0"/>
    </format>
    <format dxfId="74">
      <pivotArea dataOnly="0" labelOnly="1" outline="0" axis="axisValues" fieldPosition="0"/>
    </format>
    <format dxfId="75">
      <pivotArea dataOnly="0" labelOnly="1" outline="0" axis="axisValues" fieldPosition="0"/>
    </format>
    <format dxfId="76">
      <pivotArea outline="0" fieldPosition="0">
        <references count="1">
          <reference field="6" count="0" selected="0"/>
        </references>
      </pivotArea>
    </format>
    <format dxfId="77">
      <pivotArea outline="0" fieldPosition="0">
        <references count="1">
          <reference field="6" count="0" selected="0"/>
        </references>
      </pivotArea>
    </format>
    <format dxfId="78">
      <pivotArea outline="0" fieldPosition="0">
        <references count="1">
          <reference field="6" count="0" selected="0"/>
        </references>
      </pivotArea>
    </format>
    <format dxfId="79">
      <pivotArea outline="0" fieldPosition="0">
        <references count="1">
          <reference field="6" count="0" selected="0"/>
        </references>
      </pivotArea>
    </format>
    <format dxfId="80">
      <pivotArea grandRow="1" outline="0" collapsedLevelsAreSubtotals="1" fieldPosition="0"/>
    </format>
    <format dxfId="81">
      <pivotArea grandRow="1" outline="0" collapsedLevelsAreSubtotals="1" fieldPosition="0"/>
    </format>
    <format dxfId="82">
      <pivotArea dataOnly="0" labelOnly="1" outline="0" axis="axisValues" fieldPosition="0"/>
    </format>
    <format dxfId="83">
      <pivotArea dataOnly="0" labelOnly="1" outline="0" axis="axisValues" fieldPosition="0"/>
    </format>
    <format dxfId="84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B74BB23-1DC8-4C2D-B047-5D6896CA099F}" name="Table7" displayName="Table7" ref="B2:I58" totalsRowShown="0" headerRowDxfId="10" dataDxfId="9" tableBorderDxfId="8">
  <autoFilter ref="B2:I58" xr:uid="{BB74BB23-1DC8-4C2D-B047-5D6896CA099F}"/>
  <tableColumns count="8">
    <tableColumn id="1" xr3:uid="{2323B03D-5D0E-46E3-829B-9C5090F34B3E}" name="Date" dataDxfId="7"/>
    <tableColumn id="2" xr3:uid="{BC93E0BC-FD81-4160-B572-7608F9870001}" name="Product" dataDxfId="6"/>
    <tableColumn id="3" xr3:uid="{99719A05-5B8E-498C-9633-28C2841D3F0D}" name="Quantity" dataDxfId="5"/>
    <tableColumn id="4" xr3:uid="{818D2432-A177-422B-8F5F-70E72C81D886}" name="Sell_Price" dataDxfId="4"/>
    <tableColumn id="5" xr3:uid="{C0806F7A-753C-462F-A17E-2E4B0B760CF3}" name="Cost_Price" dataDxfId="3"/>
    <tableColumn id="6" xr3:uid="{1F2A5F6B-31B4-4099-8435-D111C69679B8}" name="Profit" dataDxfId="2">
      <calculatedColumnFormula>(E3-F3)*D3</calculatedColumnFormula>
    </tableColumn>
    <tableColumn id="7" xr3:uid="{F7EEE74D-F488-41EF-9D16-1951E0508419}" name="Day" dataDxfId="1">
      <calculatedColumnFormula>TEXT(B3,"dddd")</calculatedColumnFormula>
    </tableColumn>
    <tableColumn id="8" xr3:uid="{96D67D87-C5D4-402C-BC59-1F3784CA4FE7}" name="Week" dataDxfId="0">
      <calculatedColumnFormula>"Week " &amp; (INT((B3 - DATE(2026,8,3)) / 7) + 1)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7F7AE-4767-4293-8EEE-F32A26172F1E}">
  <dimension ref="B2:AI44"/>
  <sheetViews>
    <sheetView topLeftCell="A9" workbookViewId="0">
      <selection activeCell="J18" sqref="J18"/>
    </sheetView>
  </sheetViews>
  <sheetFormatPr defaultRowHeight="15"/>
  <sheetData>
    <row r="2" spans="15:22" ht="15" customHeight="1">
      <c r="O2" s="43" t="s">
        <v>0</v>
      </c>
      <c r="P2" s="44"/>
      <c r="Q2" s="44"/>
      <c r="R2" s="44"/>
      <c r="S2" s="44"/>
      <c r="T2" s="44"/>
      <c r="U2" s="45"/>
    </row>
    <row r="3" spans="15:22" ht="15" customHeight="1">
      <c r="O3" s="46"/>
      <c r="P3" s="47"/>
      <c r="Q3" s="47"/>
      <c r="R3" s="47"/>
      <c r="S3" s="47"/>
      <c r="T3" s="47"/>
      <c r="U3" s="48"/>
    </row>
    <row r="4" spans="15:22" ht="15" customHeight="1">
      <c r="O4" s="46"/>
      <c r="P4" s="47"/>
      <c r="Q4" s="47"/>
      <c r="R4" s="47"/>
      <c r="S4" s="47"/>
      <c r="T4" s="47"/>
      <c r="U4" s="48"/>
    </row>
    <row r="5" spans="15:22" ht="15" customHeight="1">
      <c r="O5" s="49"/>
      <c r="P5" s="50"/>
      <c r="Q5" s="50"/>
      <c r="R5" s="50"/>
      <c r="S5" s="50"/>
      <c r="T5" s="50"/>
      <c r="U5" s="51"/>
    </row>
    <row r="6" spans="15:22" ht="15" customHeight="1">
      <c r="O6" s="34" t="s">
        <v>1</v>
      </c>
      <c r="P6" s="35"/>
      <c r="Q6" s="35"/>
      <c r="R6" s="35"/>
      <c r="S6" s="35"/>
      <c r="T6" s="35"/>
      <c r="U6" s="36"/>
      <c r="V6" s="8"/>
    </row>
    <row r="7" spans="15:22" ht="15" customHeight="1">
      <c r="O7" s="37"/>
      <c r="P7" s="38"/>
      <c r="Q7" s="38"/>
      <c r="R7" s="38"/>
      <c r="S7" s="38"/>
      <c r="T7" s="38"/>
      <c r="U7" s="39"/>
      <c r="V7" s="8"/>
    </row>
    <row r="8" spans="15:22" ht="15" customHeight="1">
      <c r="O8" s="37"/>
      <c r="P8" s="38"/>
      <c r="Q8" s="38"/>
      <c r="R8" s="38"/>
      <c r="S8" s="38"/>
      <c r="T8" s="38"/>
      <c r="U8" s="39"/>
      <c r="V8" s="8"/>
    </row>
    <row r="9" spans="15:22" ht="15" customHeight="1">
      <c r="O9" s="37"/>
      <c r="P9" s="38"/>
      <c r="Q9" s="38"/>
      <c r="R9" s="38"/>
      <c r="S9" s="38"/>
      <c r="T9" s="38"/>
      <c r="U9" s="39"/>
      <c r="V9" s="8"/>
    </row>
    <row r="10" spans="15:22" ht="15" customHeight="1">
      <c r="O10" s="37"/>
      <c r="P10" s="38"/>
      <c r="Q10" s="38"/>
      <c r="R10" s="38"/>
      <c r="S10" s="38"/>
      <c r="T10" s="38"/>
      <c r="U10" s="39"/>
      <c r="V10" s="8"/>
    </row>
    <row r="11" spans="15:22" ht="15" customHeight="1">
      <c r="O11" s="37"/>
      <c r="P11" s="38"/>
      <c r="Q11" s="38"/>
      <c r="R11" s="38"/>
      <c r="S11" s="38"/>
      <c r="T11" s="38"/>
      <c r="U11" s="39"/>
      <c r="V11" s="8"/>
    </row>
    <row r="12" spans="15:22" ht="15" customHeight="1">
      <c r="O12" s="37"/>
      <c r="P12" s="38"/>
      <c r="Q12" s="38"/>
      <c r="R12" s="38"/>
      <c r="S12" s="38"/>
      <c r="T12" s="38"/>
      <c r="U12" s="39"/>
      <c r="V12" s="8"/>
    </row>
    <row r="13" spans="15:22" ht="15" customHeight="1">
      <c r="O13" s="37"/>
      <c r="P13" s="38"/>
      <c r="Q13" s="38"/>
      <c r="R13" s="38"/>
      <c r="S13" s="38"/>
      <c r="T13" s="38"/>
      <c r="U13" s="39"/>
      <c r="V13" s="8"/>
    </row>
    <row r="14" spans="15:22" ht="15" customHeight="1">
      <c r="O14" s="37"/>
      <c r="P14" s="38"/>
      <c r="Q14" s="38"/>
      <c r="R14" s="38"/>
      <c r="S14" s="38"/>
      <c r="T14" s="38"/>
      <c r="U14" s="39"/>
      <c r="V14" s="8"/>
    </row>
    <row r="15" spans="15:22" ht="15" customHeight="1">
      <c r="O15" s="37"/>
      <c r="P15" s="38"/>
      <c r="Q15" s="38"/>
      <c r="R15" s="38"/>
      <c r="S15" s="38"/>
      <c r="T15" s="38"/>
      <c r="U15" s="39"/>
      <c r="V15" s="8"/>
    </row>
    <row r="16" spans="15:22" ht="15" customHeight="1">
      <c r="O16" s="37"/>
      <c r="P16" s="38"/>
      <c r="Q16" s="38"/>
      <c r="R16" s="38"/>
      <c r="S16" s="38"/>
      <c r="T16" s="38"/>
      <c r="U16" s="39"/>
      <c r="V16" s="8"/>
    </row>
    <row r="17" spans="2:35" ht="15" customHeight="1">
      <c r="O17" s="37"/>
      <c r="P17" s="38"/>
      <c r="Q17" s="38"/>
      <c r="R17" s="38"/>
      <c r="S17" s="38"/>
      <c r="T17" s="38"/>
      <c r="U17" s="39"/>
      <c r="V17" s="8"/>
    </row>
    <row r="18" spans="2:35" ht="15" customHeight="1">
      <c r="O18" s="37"/>
      <c r="P18" s="38"/>
      <c r="Q18" s="38"/>
      <c r="R18" s="38"/>
      <c r="S18" s="38"/>
      <c r="T18" s="38"/>
      <c r="U18" s="39"/>
      <c r="V18" s="8"/>
    </row>
    <row r="19" spans="2:35" ht="15" customHeight="1">
      <c r="O19" s="37"/>
      <c r="P19" s="38"/>
      <c r="Q19" s="38"/>
      <c r="R19" s="38"/>
      <c r="S19" s="38"/>
      <c r="T19" s="38"/>
      <c r="U19" s="39"/>
      <c r="V19" s="8"/>
    </row>
    <row r="20" spans="2:35" ht="15" customHeight="1">
      <c r="O20" s="37"/>
      <c r="P20" s="38"/>
      <c r="Q20" s="38"/>
      <c r="R20" s="38"/>
      <c r="S20" s="38"/>
      <c r="T20" s="38"/>
      <c r="U20" s="39"/>
      <c r="V20" s="8"/>
    </row>
    <row r="21" spans="2:35" ht="15" customHeight="1">
      <c r="O21" s="37"/>
      <c r="P21" s="38"/>
      <c r="Q21" s="38"/>
      <c r="R21" s="38"/>
      <c r="S21" s="38"/>
      <c r="T21" s="38"/>
      <c r="U21" s="39"/>
      <c r="V21" s="8"/>
    </row>
    <row r="22" spans="2:35" ht="15" customHeight="1">
      <c r="O22" s="40"/>
      <c r="P22" s="41"/>
      <c r="Q22" s="41"/>
      <c r="R22" s="41"/>
      <c r="S22" s="41"/>
      <c r="T22" s="41"/>
      <c r="U22" s="42"/>
      <c r="V22" s="8"/>
    </row>
    <row r="25" spans="2:35" ht="15" customHeight="1">
      <c r="B25" s="19" t="s">
        <v>2</v>
      </c>
      <c r="C25" s="20"/>
      <c r="D25" s="20"/>
      <c r="E25" s="20"/>
      <c r="F25" s="20"/>
      <c r="G25" s="20"/>
      <c r="H25" s="21"/>
      <c r="K25" s="19" t="s">
        <v>3</v>
      </c>
      <c r="L25" s="20"/>
      <c r="M25" s="20"/>
      <c r="N25" s="20"/>
      <c r="O25" s="20"/>
      <c r="P25" s="20"/>
      <c r="Q25" s="21"/>
      <c r="T25" s="19" t="s">
        <v>4</v>
      </c>
      <c r="U25" s="20"/>
      <c r="V25" s="20"/>
      <c r="W25" s="20"/>
      <c r="X25" s="20"/>
      <c r="Y25" s="20"/>
      <c r="Z25" s="21"/>
      <c r="AC25" s="19" t="s">
        <v>5</v>
      </c>
      <c r="AD25" s="20"/>
      <c r="AE25" s="20"/>
      <c r="AF25" s="20"/>
      <c r="AG25" s="20"/>
      <c r="AH25" s="20"/>
      <c r="AI25" s="21"/>
    </row>
    <row r="26" spans="2:35" ht="15" customHeight="1">
      <c r="B26" s="22"/>
      <c r="C26" s="23"/>
      <c r="D26" s="23"/>
      <c r="E26" s="23"/>
      <c r="F26" s="23"/>
      <c r="G26" s="23"/>
      <c r="H26" s="24"/>
      <c r="K26" s="22"/>
      <c r="L26" s="23"/>
      <c r="M26" s="23"/>
      <c r="N26" s="23"/>
      <c r="O26" s="23"/>
      <c r="P26" s="23"/>
      <c r="Q26" s="24"/>
      <c r="T26" s="22"/>
      <c r="U26" s="23"/>
      <c r="V26" s="23"/>
      <c r="W26" s="23"/>
      <c r="X26" s="23"/>
      <c r="Y26" s="23"/>
      <c r="Z26" s="24"/>
      <c r="AC26" s="22"/>
      <c r="AD26" s="23"/>
      <c r="AE26" s="23"/>
      <c r="AF26" s="23"/>
      <c r="AG26" s="23"/>
      <c r="AH26" s="23"/>
      <c r="AI26" s="24"/>
    </row>
    <row r="27" spans="2:35" ht="15" customHeight="1">
      <c r="B27" s="25" t="s">
        <v>6</v>
      </c>
      <c r="C27" s="26"/>
      <c r="D27" s="26"/>
      <c r="E27" s="26"/>
      <c r="F27" s="26"/>
      <c r="G27" s="26"/>
      <c r="H27" s="27"/>
      <c r="K27" s="25" t="s">
        <v>6</v>
      </c>
      <c r="L27" s="26"/>
      <c r="M27" s="26"/>
      <c r="N27" s="26"/>
      <c r="O27" s="26"/>
      <c r="P27" s="26"/>
      <c r="Q27" s="27"/>
      <c r="T27" s="28" t="s">
        <v>6</v>
      </c>
      <c r="U27" s="29"/>
      <c r="V27" s="29"/>
      <c r="W27" s="29"/>
      <c r="X27" s="29"/>
      <c r="Y27" s="29"/>
      <c r="Z27" s="30"/>
      <c r="AC27" s="25" t="s">
        <v>6</v>
      </c>
      <c r="AD27" s="26"/>
      <c r="AE27" s="26"/>
      <c r="AF27" s="26"/>
      <c r="AG27" s="26"/>
      <c r="AH27" s="26"/>
      <c r="AI27" s="27"/>
    </row>
    <row r="28" spans="2:35" ht="15" customHeight="1">
      <c r="B28" s="28"/>
      <c r="C28" s="29"/>
      <c r="D28" s="29"/>
      <c r="E28" s="29"/>
      <c r="F28" s="29"/>
      <c r="G28" s="29"/>
      <c r="H28" s="30"/>
      <c r="K28" s="28"/>
      <c r="L28" s="29"/>
      <c r="M28" s="29"/>
      <c r="N28" s="29"/>
      <c r="O28" s="29"/>
      <c r="P28" s="29"/>
      <c r="Q28" s="30"/>
      <c r="T28" s="28"/>
      <c r="U28" s="29"/>
      <c r="V28" s="29"/>
      <c r="W28" s="29"/>
      <c r="X28" s="29"/>
      <c r="Y28" s="29"/>
      <c r="Z28" s="30"/>
      <c r="AC28" s="28"/>
      <c r="AD28" s="29"/>
      <c r="AE28" s="29"/>
      <c r="AF28" s="29"/>
      <c r="AG28" s="29"/>
      <c r="AH28" s="29"/>
      <c r="AI28" s="30"/>
    </row>
    <row r="29" spans="2:35" ht="15" customHeight="1">
      <c r="B29" s="28"/>
      <c r="C29" s="29"/>
      <c r="D29" s="29"/>
      <c r="E29" s="29"/>
      <c r="F29" s="29"/>
      <c r="G29" s="29"/>
      <c r="H29" s="30"/>
      <c r="K29" s="28"/>
      <c r="L29" s="29"/>
      <c r="M29" s="29"/>
      <c r="N29" s="29"/>
      <c r="O29" s="29"/>
      <c r="P29" s="29"/>
      <c r="Q29" s="30"/>
      <c r="T29" s="28"/>
      <c r="U29" s="29"/>
      <c r="V29" s="29"/>
      <c r="W29" s="29"/>
      <c r="X29" s="29"/>
      <c r="Y29" s="29"/>
      <c r="Z29" s="30"/>
      <c r="AC29" s="28"/>
      <c r="AD29" s="29"/>
      <c r="AE29" s="29"/>
      <c r="AF29" s="29"/>
      <c r="AG29" s="29"/>
      <c r="AH29" s="29"/>
      <c r="AI29" s="30"/>
    </row>
    <row r="30" spans="2:35" ht="15" customHeight="1">
      <c r="B30" s="28"/>
      <c r="C30" s="29"/>
      <c r="D30" s="29"/>
      <c r="E30" s="29"/>
      <c r="F30" s="29"/>
      <c r="G30" s="29"/>
      <c r="H30" s="30"/>
      <c r="K30" s="28"/>
      <c r="L30" s="29"/>
      <c r="M30" s="29"/>
      <c r="N30" s="29"/>
      <c r="O30" s="29"/>
      <c r="P30" s="29"/>
      <c r="Q30" s="30"/>
      <c r="T30" s="28"/>
      <c r="U30" s="29"/>
      <c r="V30" s="29"/>
      <c r="W30" s="29"/>
      <c r="X30" s="29"/>
      <c r="Y30" s="29"/>
      <c r="Z30" s="30"/>
      <c r="AC30" s="28"/>
      <c r="AD30" s="29"/>
      <c r="AE30" s="29"/>
      <c r="AF30" s="29"/>
      <c r="AG30" s="29"/>
      <c r="AH30" s="29"/>
      <c r="AI30" s="30"/>
    </row>
    <row r="31" spans="2:35" ht="15" customHeight="1">
      <c r="B31" s="28"/>
      <c r="C31" s="29"/>
      <c r="D31" s="29"/>
      <c r="E31" s="29"/>
      <c r="F31" s="29"/>
      <c r="G31" s="29"/>
      <c r="H31" s="30"/>
      <c r="K31" s="28"/>
      <c r="L31" s="29"/>
      <c r="M31" s="29"/>
      <c r="N31" s="29"/>
      <c r="O31" s="29"/>
      <c r="P31" s="29"/>
      <c r="Q31" s="30"/>
      <c r="T31" s="28"/>
      <c r="U31" s="29"/>
      <c r="V31" s="29"/>
      <c r="W31" s="29"/>
      <c r="X31" s="29"/>
      <c r="Y31" s="29"/>
      <c r="Z31" s="30"/>
      <c r="AC31" s="28"/>
      <c r="AD31" s="29"/>
      <c r="AE31" s="29"/>
      <c r="AF31" s="29"/>
      <c r="AG31" s="29"/>
      <c r="AH31" s="29"/>
      <c r="AI31" s="30"/>
    </row>
    <row r="32" spans="2:35" ht="15" customHeight="1">
      <c r="B32" s="28"/>
      <c r="C32" s="29"/>
      <c r="D32" s="29"/>
      <c r="E32" s="29"/>
      <c r="F32" s="29"/>
      <c r="G32" s="29"/>
      <c r="H32" s="30"/>
      <c r="K32" s="28"/>
      <c r="L32" s="29"/>
      <c r="M32" s="29"/>
      <c r="N32" s="29"/>
      <c r="O32" s="29"/>
      <c r="P32" s="29"/>
      <c r="Q32" s="30"/>
      <c r="T32" s="28"/>
      <c r="U32" s="29"/>
      <c r="V32" s="29"/>
      <c r="W32" s="29"/>
      <c r="X32" s="29"/>
      <c r="Y32" s="29"/>
      <c r="Z32" s="30"/>
      <c r="AC32" s="28"/>
      <c r="AD32" s="29"/>
      <c r="AE32" s="29"/>
      <c r="AF32" s="29"/>
      <c r="AG32" s="29"/>
      <c r="AH32" s="29"/>
      <c r="AI32" s="30"/>
    </row>
    <row r="33" spans="2:35" ht="15" customHeight="1">
      <c r="B33" s="31"/>
      <c r="C33" s="32"/>
      <c r="D33" s="32"/>
      <c r="E33" s="32"/>
      <c r="F33" s="32"/>
      <c r="G33" s="32"/>
      <c r="H33" s="33"/>
      <c r="K33" s="31"/>
      <c r="L33" s="32"/>
      <c r="M33" s="32"/>
      <c r="N33" s="32"/>
      <c r="O33" s="32"/>
      <c r="P33" s="32"/>
      <c r="Q33" s="33"/>
      <c r="T33" s="31"/>
      <c r="U33" s="32"/>
      <c r="V33" s="32"/>
      <c r="W33" s="32"/>
      <c r="X33" s="32"/>
      <c r="Y33" s="32"/>
      <c r="Z33" s="33"/>
      <c r="AC33" s="31"/>
      <c r="AD33" s="32"/>
      <c r="AE33" s="32"/>
      <c r="AF33" s="32"/>
      <c r="AG33" s="32"/>
      <c r="AH33" s="32"/>
      <c r="AI33" s="33"/>
    </row>
    <row r="36" spans="2:35" ht="15" customHeight="1">
      <c r="B36" s="19" t="s">
        <v>7</v>
      </c>
      <c r="C36" s="20"/>
      <c r="D36" s="20"/>
      <c r="E36" s="20"/>
      <c r="F36" s="20"/>
      <c r="G36" s="20"/>
      <c r="H36" s="21"/>
      <c r="K36" s="19" t="s">
        <v>8</v>
      </c>
      <c r="L36" s="20"/>
      <c r="M36" s="20"/>
      <c r="N36" s="20"/>
      <c r="O36" s="20"/>
      <c r="P36" s="20"/>
      <c r="Q36" s="21"/>
      <c r="T36" s="19" t="s">
        <v>9</v>
      </c>
      <c r="U36" s="20"/>
      <c r="V36" s="20"/>
      <c r="W36" s="20"/>
      <c r="X36" s="20"/>
      <c r="Y36" s="20"/>
      <c r="Z36" s="21"/>
      <c r="AC36" s="19" t="s">
        <v>10</v>
      </c>
      <c r="AD36" s="20"/>
      <c r="AE36" s="20"/>
      <c r="AF36" s="20"/>
      <c r="AG36" s="20"/>
      <c r="AH36" s="20"/>
      <c r="AI36" s="21"/>
    </row>
    <row r="37" spans="2:35" ht="15" customHeight="1">
      <c r="B37" s="22"/>
      <c r="C37" s="23"/>
      <c r="D37" s="23"/>
      <c r="E37" s="23"/>
      <c r="F37" s="23"/>
      <c r="G37" s="23"/>
      <c r="H37" s="24"/>
      <c r="K37" s="22"/>
      <c r="L37" s="23"/>
      <c r="M37" s="23"/>
      <c r="N37" s="23"/>
      <c r="O37" s="23"/>
      <c r="P37" s="23"/>
      <c r="Q37" s="24"/>
      <c r="T37" s="22"/>
      <c r="U37" s="23"/>
      <c r="V37" s="23"/>
      <c r="W37" s="23"/>
      <c r="X37" s="23"/>
      <c r="Y37" s="23"/>
      <c r="Z37" s="24"/>
      <c r="AC37" s="22"/>
      <c r="AD37" s="23"/>
      <c r="AE37" s="23"/>
      <c r="AF37" s="23"/>
      <c r="AG37" s="23"/>
      <c r="AH37" s="23"/>
      <c r="AI37" s="24"/>
    </row>
    <row r="38" spans="2:35" ht="15" customHeight="1">
      <c r="B38" s="25" t="s">
        <v>6</v>
      </c>
      <c r="C38" s="26"/>
      <c r="D38" s="26"/>
      <c r="E38" s="26"/>
      <c r="F38" s="26"/>
      <c r="G38" s="26"/>
      <c r="H38" s="27"/>
      <c r="K38" s="25" t="s">
        <v>6</v>
      </c>
      <c r="L38" s="26"/>
      <c r="M38" s="26"/>
      <c r="N38" s="26"/>
      <c r="O38" s="26"/>
      <c r="P38" s="26"/>
      <c r="Q38" s="27"/>
      <c r="T38" s="25" t="s">
        <v>6</v>
      </c>
      <c r="U38" s="26"/>
      <c r="V38" s="26"/>
      <c r="W38" s="26"/>
      <c r="X38" s="26"/>
      <c r="Y38" s="26"/>
      <c r="Z38" s="27"/>
      <c r="AC38" s="25" t="s">
        <v>6</v>
      </c>
      <c r="AD38" s="26"/>
      <c r="AE38" s="26"/>
      <c r="AF38" s="26"/>
      <c r="AG38" s="26"/>
      <c r="AH38" s="26"/>
      <c r="AI38" s="27"/>
    </row>
    <row r="39" spans="2:35" ht="15" customHeight="1">
      <c r="B39" s="28"/>
      <c r="C39" s="29"/>
      <c r="D39" s="29"/>
      <c r="E39" s="29"/>
      <c r="F39" s="29"/>
      <c r="G39" s="29"/>
      <c r="H39" s="30"/>
      <c r="K39" s="28"/>
      <c r="L39" s="29"/>
      <c r="M39" s="29"/>
      <c r="N39" s="29"/>
      <c r="O39" s="29"/>
      <c r="P39" s="29"/>
      <c r="Q39" s="30"/>
      <c r="T39" s="28"/>
      <c r="U39" s="29"/>
      <c r="V39" s="29"/>
      <c r="W39" s="29"/>
      <c r="X39" s="29"/>
      <c r="Y39" s="29"/>
      <c r="Z39" s="30"/>
      <c r="AC39" s="28"/>
      <c r="AD39" s="29"/>
      <c r="AE39" s="29"/>
      <c r="AF39" s="29"/>
      <c r="AG39" s="29"/>
      <c r="AH39" s="29"/>
      <c r="AI39" s="30"/>
    </row>
    <row r="40" spans="2:35" ht="15" customHeight="1">
      <c r="B40" s="28"/>
      <c r="C40" s="29"/>
      <c r="D40" s="29"/>
      <c r="E40" s="29"/>
      <c r="F40" s="29"/>
      <c r="G40" s="29"/>
      <c r="H40" s="30"/>
      <c r="K40" s="28"/>
      <c r="L40" s="29"/>
      <c r="M40" s="29"/>
      <c r="N40" s="29"/>
      <c r="O40" s="29"/>
      <c r="P40" s="29"/>
      <c r="Q40" s="30"/>
      <c r="T40" s="28"/>
      <c r="U40" s="29"/>
      <c r="V40" s="29"/>
      <c r="W40" s="29"/>
      <c r="X40" s="29"/>
      <c r="Y40" s="29"/>
      <c r="Z40" s="30"/>
      <c r="AC40" s="28"/>
      <c r="AD40" s="29"/>
      <c r="AE40" s="29"/>
      <c r="AF40" s="29"/>
      <c r="AG40" s="29"/>
      <c r="AH40" s="29"/>
      <c r="AI40" s="30"/>
    </row>
    <row r="41" spans="2:35" ht="15" customHeight="1">
      <c r="B41" s="28"/>
      <c r="C41" s="29"/>
      <c r="D41" s="29"/>
      <c r="E41" s="29"/>
      <c r="F41" s="29"/>
      <c r="G41" s="29"/>
      <c r="H41" s="30"/>
      <c r="K41" s="28"/>
      <c r="L41" s="29"/>
      <c r="M41" s="29"/>
      <c r="N41" s="29"/>
      <c r="O41" s="29"/>
      <c r="P41" s="29"/>
      <c r="Q41" s="30"/>
      <c r="T41" s="28"/>
      <c r="U41" s="29"/>
      <c r="V41" s="29"/>
      <c r="W41" s="29"/>
      <c r="X41" s="29"/>
      <c r="Y41" s="29"/>
      <c r="Z41" s="30"/>
      <c r="AC41" s="28"/>
      <c r="AD41" s="29"/>
      <c r="AE41" s="29"/>
      <c r="AF41" s="29"/>
      <c r="AG41" s="29"/>
      <c r="AH41" s="29"/>
      <c r="AI41" s="30"/>
    </row>
    <row r="42" spans="2:35" ht="15" customHeight="1">
      <c r="B42" s="28"/>
      <c r="C42" s="29"/>
      <c r="D42" s="29"/>
      <c r="E42" s="29"/>
      <c r="F42" s="29"/>
      <c r="G42" s="29"/>
      <c r="H42" s="30"/>
      <c r="K42" s="28"/>
      <c r="L42" s="29"/>
      <c r="M42" s="29"/>
      <c r="N42" s="29"/>
      <c r="O42" s="29"/>
      <c r="P42" s="29"/>
      <c r="Q42" s="30"/>
      <c r="T42" s="28"/>
      <c r="U42" s="29"/>
      <c r="V42" s="29"/>
      <c r="W42" s="29"/>
      <c r="X42" s="29"/>
      <c r="Y42" s="29"/>
      <c r="Z42" s="30"/>
      <c r="AC42" s="28"/>
      <c r="AD42" s="29"/>
      <c r="AE42" s="29"/>
      <c r="AF42" s="29"/>
      <c r="AG42" s="29"/>
      <c r="AH42" s="29"/>
      <c r="AI42" s="30"/>
    </row>
    <row r="43" spans="2:35" ht="15" customHeight="1">
      <c r="B43" s="28"/>
      <c r="C43" s="29"/>
      <c r="D43" s="29"/>
      <c r="E43" s="29"/>
      <c r="F43" s="29"/>
      <c r="G43" s="29"/>
      <c r="H43" s="30"/>
      <c r="K43" s="28"/>
      <c r="L43" s="29"/>
      <c r="M43" s="29"/>
      <c r="N43" s="29"/>
      <c r="O43" s="29"/>
      <c r="P43" s="29"/>
      <c r="Q43" s="30"/>
      <c r="T43" s="28"/>
      <c r="U43" s="29"/>
      <c r="V43" s="29"/>
      <c r="W43" s="29"/>
      <c r="X43" s="29"/>
      <c r="Y43" s="29"/>
      <c r="Z43" s="30"/>
      <c r="AC43" s="28"/>
      <c r="AD43" s="29"/>
      <c r="AE43" s="29"/>
      <c r="AF43" s="29"/>
      <c r="AG43" s="29"/>
      <c r="AH43" s="29"/>
      <c r="AI43" s="30"/>
    </row>
    <row r="44" spans="2:35" ht="15" customHeight="1">
      <c r="B44" s="31"/>
      <c r="C44" s="32"/>
      <c r="D44" s="32"/>
      <c r="E44" s="32"/>
      <c r="F44" s="32"/>
      <c r="G44" s="32"/>
      <c r="H44" s="33"/>
      <c r="K44" s="31"/>
      <c r="L44" s="32"/>
      <c r="M44" s="32"/>
      <c r="N44" s="32"/>
      <c r="O44" s="32"/>
      <c r="P44" s="32"/>
      <c r="Q44" s="33"/>
      <c r="T44" s="31"/>
      <c r="U44" s="32"/>
      <c r="V44" s="32"/>
      <c r="W44" s="32"/>
      <c r="X44" s="32"/>
      <c r="Y44" s="32"/>
      <c r="Z44" s="33"/>
      <c r="AC44" s="31"/>
      <c r="AD44" s="32"/>
      <c r="AE44" s="32"/>
      <c r="AF44" s="32"/>
      <c r="AG44" s="32"/>
      <c r="AH44" s="32"/>
      <c r="AI44" s="33"/>
    </row>
  </sheetData>
  <mergeCells count="18">
    <mergeCell ref="O6:U22"/>
    <mergeCell ref="O2:U5"/>
    <mergeCell ref="T25:Z26"/>
    <mergeCell ref="T27:Z33"/>
    <mergeCell ref="AC25:AI26"/>
    <mergeCell ref="AC27:AI33"/>
    <mergeCell ref="T36:Z37"/>
    <mergeCell ref="T38:Z44"/>
    <mergeCell ref="AC36:AI37"/>
    <mergeCell ref="AC38:AI44"/>
    <mergeCell ref="B25:H26"/>
    <mergeCell ref="B27:H33"/>
    <mergeCell ref="K25:Q26"/>
    <mergeCell ref="K27:Q33"/>
    <mergeCell ref="B36:H37"/>
    <mergeCell ref="B38:H44"/>
    <mergeCell ref="K36:Q37"/>
    <mergeCell ref="K38:Q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EECDE-DD61-4D1B-A515-B6F3577627E6}">
  <dimension ref="B2:I58"/>
  <sheetViews>
    <sheetView tabSelected="1" workbookViewId="0">
      <selection activeCell="C9" sqref="C9"/>
    </sheetView>
  </sheetViews>
  <sheetFormatPr defaultRowHeight="26.25" customHeight="1"/>
  <cols>
    <col min="2" max="7" width="22.7109375" customWidth="1"/>
    <col min="8" max="9" width="22.85546875" customWidth="1"/>
  </cols>
  <sheetData>
    <row r="2" spans="2:9" ht="26.25" customHeight="1">
      <c r="B2" s="1" t="s">
        <v>11</v>
      </c>
      <c r="C2" s="2" t="s">
        <v>12</v>
      </c>
      <c r="D2" s="3" t="s">
        <v>13</v>
      </c>
      <c r="E2" s="4" t="s">
        <v>14</v>
      </c>
      <c r="F2" s="4" t="s">
        <v>15</v>
      </c>
      <c r="G2" s="4" t="s">
        <v>16</v>
      </c>
      <c r="H2" s="87" t="s">
        <v>17</v>
      </c>
      <c r="I2" s="86" t="s">
        <v>18</v>
      </c>
    </row>
    <row r="3" spans="2:9" ht="26.25" customHeight="1">
      <c r="B3" s="9">
        <v>46237</v>
      </c>
      <c r="C3" s="10" t="s">
        <v>19</v>
      </c>
      <c r="D3" s="11">
        <v>6</v>
      </c>
      <c r="E3" s="12">
        <v>270</v>
      </c>
      <c r="F3" s="12">
        <v>253</v>
      </c>
      <c r="G3" s="12">
        <f>(E3-F3)*D3</f>
        <v>102</v>
      </c>
      <c r="H3" s="83" t="str">
        <f>TEXT(B3,"dddd")</f>
        <v>Monday</v>
      </c>
      <c r="I3" s="88" t="str">
        <f t="shared" ref="I3:I34" si="0">"Week " &amp; (INT((B3 - DATE(2026,8,3)) / 7) + 1)</f>
        <v>Week 1</v>
      </c>
    </row>
    <row r="4" spans="2:9" ht="26.25" customHeight="1">
      <c r="B4" s="9">
        <v>46237</v>
      </c>
      <c r="C4" s="5" t="s">
        <v>20</v>
      </c>
      <c r="D4" s="6">
        <v>1</v>
      </c>
      <c r="E4" s="12">
        <v>1100</v>
      </c>
      <c r="F4" s="12">
        <v>980</v>
      </c>
      <c r="G4" s="12">
        <f t="shared" ref="G4:G56" si="1">(E4-F4)*D4</f>
        <v>120</v>
      </c>
      <c r="H4" s="83" t="str">
        <f t="shared" ref="H4:H56" si="2">TEXT(B4,"dddd")</f>
        <v>Monday</v>
      </c>
      <c r="I4" s="82" t="str">
        <f t="shared" si="0"/>
        <v>Week 1</v>
      </c>
    </row>
    <row r="5" spans="2:9" ht="26.25" customHeight="1">
      <c r="B5" s="9">
        <v>46237</v>
      </c>
      <c r="C5" s="5" t="s">
        <v>21</v>
      </c>
      <c r="D5" s="6">
        <v>2</v>
      </c>
      <c r="E5" s="12">
        <v>260</v>
      </c>
      <c r="F5" s="12">
        <v>234</v>
      </c>
      <c r="G5" s="12">
        <f t="shared" si="1"/>
        <v>52</v>
      </c>
      <c r="H5" s="83" t="str">
        <f t="shared" si="2"/>
        <v>Monday</v>
      </c>
      <c r="I5" s="82" t="str">
        <f t="shared" si="0"/>
        <v>Week 1</v>
      </c>
    </row>
    <row r="6" spans="2:9" ht="26.25" customHeight="1">
      <c r="B6" s="9">
        <v>46237</v>
      </c>
      <c r="C6" s="5" t="s">
        <v>22</v>
      </c>
      <c r="D6" s="6">
        <v>1</v>
      </c>
      <c r="E6" s="12">
        <v>1300</v>
      </c>
      <c r="F6" s="12">
        <v>1180</v>
      </c>
      <c r="G6" s="12">
        <f t="shared" si="1"/>
        <v>120</v>
      </c>
      <c r="H6" s="83" t="str">
        <f t="shared" si="2"/>
        <v>Monday</v>
      </c>
      <c r="I6" s="82" t="str">
        <f t="shared" si="0"/>
        <v>Week 1</v>
      </c>
    </row>
    <row r="7" spans="2:9" ht="26.25" customHeight="1">
      <c r="B7" s="9">
        <v>46237</v>
      </c>
      <c r="C7" s="5" t="s">
        <v>23</v>
      </c>
      <c r="D7" s="6">
        <v>4</v>
      </c>
      <c r="E7" s="12">
        <v>40</v>
      </c>
      <c r="F7" s="12">
        <v>33</v>
      </c>
      <c r="G7" s="12">
        <f t="shared" si="1"/>
        <v>28</v>
      </c>
      <c r="H7" s="83" t="str">
        <f t="shared" si="2"/>
        <v>Monday</v>
      </c>
      <c r="I7" s="82" t="str">
        <f t="shared" si="0"/>
        <v>Week 1</v>
      </c>
    </row>
    <row r="8" spans="2:9" ht="26.25" customHeight="1">
      <c r="B8" s="9">
        <v>46237</v>
      </c>
      <c r="C8" s="5" t="s">
        <v>24</v>
      </c>
      <c r="D8" s="6">
        <v>8</v>
      </c>
      <c r="E8" s="12">
        <v>10</v>
      </c>
      <c r="F8" s="12">
        <v>9.1</v>
      </c>
      <c r="G8" s="12">
        <f t="shared" si="1"/>
        <v>7.2000000000000028</v>
      </c>
      <c r="H8" s="83" t="str">
        <f t="shared" si="2"/>
        <v>Monday</v>
      </c>
      <c r="I8" s="82" t="str">
        <f t="shared" si="0"/>
        <v>Week 1</v>
      </c>
    </row>
    <row r="9" spans="2:9" ht="26.25" customHeight="1">
      <c r="B9" s="9">
        <v>46237</v>
      </c>
      <c r="C9" s="5" t="s">
        <v>25</v>
      </c>
      <c r="D9" s="6">
        <v>1</v>
      </c>
      <c r="E9" s="12">
        <v>350</v>
      </c>
      <c r="F9" s="12">
        <v>280</v>
      </c>
      <c r="G9" s="12">
        <f t="shared" si="1"/>
        <v>70</v>
      </c>
      <c r="H9" s="83" t="str">
        <f t="shared" si="2"/>
        <v>Monday</v>
      </c>
      <c r="I9" s="82" t="str">
        <f t="shared" si="0"/>
        <v>Week 1</v>
      </c>
    </row>
    <row r="10" spans="2:9" ht="26.25" customHeight="1">
      <c r="B10" s="9">
        <v>46237</v>
      </c>
      <c r="C10" s="5" t="s">
        <v>26</v>
      </c>
      <c r="D10" s="6">
        <v>6</v>
      </c>
      <c r="E10" s="12">
        <v>60</v>
      </c>
      <c r="F10" s="12">
        <v>51</v>
      </c>
      <c r="G10" s="12">
        <f t="shared" si="1"/>
        <v>54</v>
      </c>
      <c r="H10" s="83" t="str">
        <f t="shared" si="2"/>
        <v>Monday</v>
      </c>
      <c r="I10" s="82" t="str">
        <f t="shared" si="0"/>
        <v>Week 1</v>
      </c>
    </row>
    <row r="11" spans="2:9" ht="26.25" customHeight="1">
      <c r="B11" s="9">
        <v>46237</v>
      </c>
      <c r="C11" s="5" t="s">
        <v>27</v>
      </c>
      <c r="D11" s="6">
        <v>3</v>
      </c>
      <c r="E11" s="12">
        <v>60</v>
      </c>
      <c r="F11" s="12">
        <v>57</v>
      </c>
      <c r="G11" s="12">
        <f t="shared" si="1"/>
        <v>9</v>
      </c>
      <c r="H11" s="83" t="str">
        <f t="shared" si="2"/>
        <v>Monday</v>
      </c>
      <c r="I11" s="82" t="str">
        <f t="shared" si="0"/>
        <v>Week 1</v>
      </c>
    </row>
    <row r="12" spans="2:9" ht="26.25" customHeight="1">
      <c r="B12" s="9">
        <v>46238</v>
      </c>
      <c r="C12" s="5" t="s">
        <v>28</v>
      </c>
      <c r="D12" s="6">
        <v>6</v>
      </c>
      <c r="E12" s="12">
        <v>550</v>
      </c>
      <c r="F12" s="12">
        <v>523</v>
      </c>
      <c r="G12" s="12">
        <f t="shared" si="1"/>
        <v>162</v>
      </c>
      <c r="H12" s="83" t="str">
        <f t="shared" si="2"/>
        <v>Tuesday</v>
      </c>
      <c r="I12" s="82" t="str">
        <f t="shared" si="0"/>
        <v>Week 1</v>
      </c>
    </row>
    <row r="13" spans="2:9" ht="26.25" customHeight="1">
      <c r="B13" s="9">
        <v>46238</v>
      </c>
      <c r="C13" s="5" t="s">
        <v>29</v>
      </c>
      <c r="D13" s="6">
        <v>6</v>
      </c>
      <c r="E13" s="12">
        <v>90</v>
      </c>
      <c r="F13" s="12">
        <v>78</v>
      </c>
      <c r="G13" s="12">
        <f t="shared" si="1"/>
        <v>72</v>
      </c>
      <c r="H13" s="83" t="str">
        <f t="shared" si="2"/>
        <v>Tuesday</v>
      </c>
      <c r="I13" s="82" t="str">
        <f t="shared" si="0"/>
        <v>Week 1</v>
      </c>
    </row>
    <row r="14" spans="2:9" ht="26.25" customHeight="1">
      <c r="B14" s="9">
        <v>46238</v>
      </c>
      <c r="C14" s="5" t="s">
        <v>30</v>
      </c>
      <c r="D14" s="6">
        <v>4</v>
      </c>
      <c r="E14" s="12">
        <v>110</v>
      </c>
      <c r="F14" s="12">
        <v>89</v>
      </c>
      <c r="G14" s="12">
        <f t="shared" si="1"/>
        <v>84</v>
      </c>
      <c r="H14" s="83" t="str">
        <f t="shared" si="2"/>
        <v>Tuesday</v>
      </c>
      <c r="I14" s="82" t="str">
        <f t="shared" si="0"/>
        <v>Week 1</v>
      </c>
    </row>
    <row r="15" spans="2:9" ht="26.25" customHeight="1">
      <c r="B15" s="9">
        <v>46238</v>
      </c>
      <c r="C15" s="5" t="s">
        <v>31</v>
      </c>
      <c r="D15" s="6">
        <v>2</v>
      </c>
      <c r="E15" s="12">
        <v>140</v>
      </c>
      <c r="F15" s="12">
        <v>125</v>
      </c>
      <c r="G15" s="12">
        <f t="shared" si="1"/>
        <v>30</v>
      </c>
      <c r="H15" s="83" t="str">
        <f t="shared" si="2"/>
        <v>Tuesday</v>
      </c>
      <c r="I15" s="82" t="str">
        <f t="shared" si="0"/>
        <v>Week 1</v>
      </c>
    </row>
    <row r="16" spans="2:9" ht="26.25" customHeight="1">
      <c r="B16" s="9">
        <v>46238</v>
      </c>
      <c r="C16" s="5" t="s">
        <v>32</v>
      </c>
      <c r="D16" s="6">
        <v>2</v>
      </c>
      <c r="E16" s="12">
        <v>35</v>
      </c>
      <c r="F16" s="12">
        <v>28</v>
      </c>
      <c r="G16" s="12">
        <f t="shared" si="1"/>
        <v>14</v>
      </c>
      <c r="H16" s="83" t="str">
        <f t="shared" si="2"/>
        <v>Tuesday</v>
      </c>
      <c r="I16" s="82" t="str">
        <f t="shared" si="0"/>
        <v>Week 1</v>
      </c>
    </row>
    <row r="17" spans="2:9" ht="26.25" customHeight="1">
      <c r="B17" s="9">
        <v>46238</v>
      </c>
      <c r="C17" s="5" t="s">
        <v>26</v>
      </c>
      <c r="D17" s="6">
        <v>3</v>
      </c>
      <c r="E17" s="12">
        <v>60</v>
      </c>
      <c r="F17" s="12">
        <v>51</v>
      </c>
      <c r="G17" s="12">
        <f t="shared" si="1"/>
        <v>27</v>
      </c>
      <c r="H17" s="83" t="str">
        <f t="shared" si="2"/>
        <v>Tuesday</v>
      </c>
      <c r="I17" s="82" t="str">
        <f t="shared" si="0"/>
        <v>Week 1</v>
      </c>
    </row>
    <row r="18" spans="2:9" ht="26.25" customHeight="1">
      <c r="B18" s="9">
        <v>46238</v>
      </c>
      <c r="C18" s="5" t="s">
        <v>33</v>
      </c>
      <c r="D18" s="6">
        <v>7</v>
      </c>
      <c r="E18" s="12">
        <v>10</v>
      </c>
      <c r="F18" s="12">
        <v>8</v>
      </c>
      <c r="G18" s="12">
        <f t="shared" si="1"/>
        <v>14</v>
      </c>
      <c r="H18" s="83" t="str">
        <f t="shared" si="2"/>
        <v>Tuesday</v>
      </c>
      <c r="I18" s="82" t="str">
        <f t="shared" si="0"/>
        <v>Week 1</v>
      </c>
    </row>
    <row r="19" spans="2:9" ht="26.25" customHeight="1">
      <c r="B19" s="9">
        <v>46238</v>
      </c>
      <c r="C19" s="5" t="s">
        <v>34</v>
      </c>
      <c r="D19" s="6">
        <v>2</v>
      </c>
      <c r="E19" s="12">
        <v>700</v>
      </c>
      <c r="F19" s="12">
        <v>560</v>
      </c>
      <c r="G19" s="12">
        <f t="shared" si="1"/>
        <v>280</v>
      </c>
      <c r="H19" s="83" t="str">
        <f t="shared" si="2"/>
        <v>Tuesday</v>
      </c>
      <c r="I19" s="82" t="str">
        <f t="shared" si="0"/>
        <v>Week 1</v>
      </c>
    </row>
    <row r="20" spans="2:9" ht="26.25" customHeight="1">
      <c r="B20" s="9">
        <v>46239</v>
      </c>
      <c r="C20" s="5" t="s">
        <v>35</v>
      </c>
      <c r="D20" s="6">
        <v>2</v>
      </c>
      <c r="E20" s="12">
        <v>330</v>
      </c>
      <c r="F20" s="12">
        <v>297</v>
      </c>
      <c r="G20" s="12">
        <f t="shared" si="1"/>
        <v>66</v>
      </c>
      <c r="H20" s="83" t="str">
        <f t="shared" si="2"/>
        <v>Wednesday</v>
      </c>
      <c r="I20" s="82" t="str">
        <f t="shared" si="0"/>
        <v>Week 1</v>
      </c>
    </row>
    <row r="21" spans="2:9" ht="26.25" customHeight="1">
      <c r="B21" s="9">
        <v>46239</v>
      </c>
      <c r="C21" s="5" t="s">
        <v>36</v>
      </c>
      <c r="D21" s="6">
        <v>5</v>
      </c>
      <c r="E21" s="12">
        <v>50</v>
      </c>
      <c r="F21" s="12">
        <v>39</v>
      </c>
      <c r="G21" s="12">
        <f t="shared" si="1"/>
        <v>55</v>
      </c>
      <c r="H21" s="83" t="str">
        <f t="shared" si="2"/>
        <v>Wednesday</v>
      </c>
      <c r="I21" s="82" t="str">
        <f t="shared" si="0"/>
        <v>Week 1</v>
      </c>
    </row>
    <row r="22" spans="2:9" ht="26.25" customHeight="1">
      <c r="B22" s="9">
        <v>46239</v>
      </c>
      <c r="C22" s="5" t="s">
        <v>37</v>
      </c>
      <c r="D22" s="6">
        <v>6</v>
      </c>
      <c r="E22" s="12">
        <v>60</v>
      </c>
      <c r="F22" s="12">
        <v>52</v>
      </c>
      <c r="G22" s="12">
        <f t="shared" si="1"/>
        <v>48</v>
      </c>
      <c r="H22" s="83" t="str">
        <f t="shared" si="2"/>
        <v>Wednesday</v>
      </c>
      <c r="I22" s="82" t="str">
        <f t="shared" si="0"/>
        <v>Week 1</v>
      </c>
    </row>
    <row r="23" spans="2:9" ht="26.25" customHeight="1">
      <c r="B23" s="9">
        <v>46239</v>
      </c>
      <c r="C23" s="5" t="s">
        <v>38</v>
      </c>
      <c r="D23" s="6">
        <v>2</v>
      </c>
      <c r="E23" s="12">
        <v>110</v>
      </c>
      <c r="F23" s="12">
        <v>92</v>
      </c>
      <c r="G23" s="12">
        <f t="shared" si="1"/>
        <v>36</v>
      </c>
      <c r="H23" s="83" t="str">
        <f t="shared" si="2"/>
        <v>Wednesday</v>
      </c>
      <c r="I23" s="82" t="str">
        <f t="shared" si="0"/>
        <v>Week 1</v>
      </c>
    </row>
    <row r="24" spans="2:9" ht="26.25" customHeight="1">
      <c r="B24" s="9">
        <v>46239</v>
      </c>
      <c r="C24" s="5" t="s">
        <v>32</v>
      </c>
      <c r="D24" s="6">
        <v>2</v>
      </c>
      <c r="E24" s="12">
        <v>35</v>
      </c>
      <c r="F24" s="12">
        <v>28</v>
      </c>
      <c r="G24" s="12">
        <f t="shared" si="1"/>
        <v>14</v>
      </c>
      <c r="H24" s="83" t="str">
        <f t="shared" si="2"/>
        <v>Wednesday</v>
      </c>
      <c r="I24" s="82" t="str">
        <f t="shared" si="0"/>
        <v>Week 1</v>
      </c>
    </row>
    <row r="25" spans="2:9" ht="26.25" customHeight="1">
      <c r="B25" s="9">
        <v>46239</v>
      </c>
      <c r="C25" s="5" t="s">
        <v>39</v>
      </c>
      <c r="D25" s="6">
        <v>6</v>
      </c>
      <c r="E25" s="12">
        <v>20</v>
      </c>
      <c r="F25" s="12">
        <v>16.5</v>
      </c>
      <c r="G25" s="12">
        <f t="shared" si="1"/>
        <v>21</v>
      </c>
      <c r="H25" s="83" t="str">
        <f t="shared" si="2"/>
        <v>Wednesday</v>
      </c>
      <c r="I25" s="82" t="str">
        <f t="shared" si="0"/>
        <v>Week 1</v>
      </c>
    </row>
    <row r="26" spans="2:9" ht="26.25" customHeight="1">
      <c r="B26" s="9">
        <v>46239</v>
      </c>
      <c r="C26" s="5" t="s">
        <v>40</v>
      </c>
      <c r="D26" s="6">
        <v>2</v>
      </c>
      <c r="E26" s="12">
        <v>50</v>
      </c>
      <c r="F26" s="12">
        <v>34</v>
      </c>
      <c r="G26" s="12">
        <f t="shared" si="1"/>
        <v>32</v>
      </c>
      <c r="H26" s="83" t="str">
        <f t="shared" si="2"/>
        <v>Wednesday</v>
      </c>
      <c r="I26" s="82" t="str">
        <f t="shared" si="0"/>
        <v>Week 1</v>
      </c>
    </row>
    <row r="27" spans="2:9" ht="26.25" customHeight="1">
      <c r="B27" s="9">
        <v>46240</v>
      </c>
      <c r="C27" s="5" t="s">
        <v>41</v>
      </c>
      <c r="D27" s="6">
        <v>2</v>
      </c>
      <c r="E27" s="12">
        <v>70</v>
      </c>
      <c r="F27" s="12">
        <v>46</v>
      </c>
      <c r="G27" s="12">
        <f t="shared" si="1"/>
        <v>48</v>
      </c>
      <c r="H27" s="83" t="str">
        <f t="shared" si="2"/>
        <v>Thursday</v>
      </c>
      <c r="I27" s="82" t="str">
        <f t="shared" si="0"/>
        <v>Week 1</v>
      </c>
    </row>
    <row r="28" spans="2:9" ht="26.25" customHeight="1">
      <c r="B28" s="9">
        <v>46240</v>
      </c>
      <c r="C28" s="5" t="s">
        <v>42</v>
      </c>
      <c r="D28" s="6">
        <v>2</v>
      </c>
      <c r="E28" s="12">
        <v>110</v>
      </c>
      <c r="F28" s="12">
        <v>63</v>
      </c>
      <c r="G28" s="12">
        <f t="shared" si="1"/>
        <v>94</v>
      </c>
      <c r="H28" s="83" t="str">
        <f t="shared" si="2"/>
        <v>Thursday</v>
      </c>
      <c r="I28" s="82" t="str">
        <f t="shared" si="0"/>
        <v>Week 1</v>
      </c>
    </row>
    <row r="29" spans="2:9" ht="26.25" customHeight="1">
      <c r="B29" s="9">
        <v>46240</v>
      </c>
      <c r="C29" s="5" t="s">
        <v>43</v>
      </c>
      <c r="D29" s="6">
        <v>2</v>
      </c>
      <c r="E29" s="12">
        <v>1900</v>
      </c>
      <c r="F29" s="12">
        <v>1772</v>
      </c>
      <c r="G29" s="12">
        <f t="shared" si="1"/>
        <v>256</v>
      </c>
      <c r="H29" s="83" t="str">
        <f t="shared" si="2"/>
        <v>Thursday</v>
      </c>
      <c r="I29" s="82" t="str">
        <f t="shared" si="0"/>
        <v>Week 1</v>
      </c>
    </row>
    <row r="30" spans="2:9" ht="26.25" customHeight="1">
      <c r="B30" s="9">
        <v>46240</v>
      </c>
      <c r="C30" s="5" t="s">
        <v>44</v>
      </c>
      <c r="D30" s="6">
        <v>2</v>
      </c>
      <c r="E30" s="12">
        <v>90</v>
      </c>
      <c r="F30" s="12">
        <v>71</v>
      </c>
      <c r="G30" s="12">
        <f t="shared" si="1"/>
        <v>38</v>
      </c>
      <c r="H30" s="83" t="str">
        <f t="shared" si="2"/>
        <v>Thursday</v>
      </c>
      <c r="I30" s="82" t="str">
        <f t="shared" si="0"/>
        <v>Week 1</v>
      </c>
    </row>
    <row r="31" spans="2:9" ht="26.25" customHeight="1">
      <c r="B31" s="9">
        <v>46240</v>
      </c>
      <c r="C31" s="5" t="s">
        <v>45</v>
      </c>
      <c r="D31" s="6">
        <v>4</v>
      </c>
      <c r="E31" s="12">
        <v>120</v>
      </c>
      <c r="F31" s="12">
        <v>96</v>
      </c>
      <c r="G31" s="12">
        <f t="shared" si="1"/>
        <v>96</v>
      </c>
      <c r="H31" s="83" t="str">
        <f t="shared" si="2"/>
        <v>Thursday</v>
      </c>
      <c r="I31" s="82" t="str">
        <f t="shared" si="0"/>
        <v>Week 1</v>
      </c>
    </row>
    <row r="32" spans="2:9" ht="26.25" customHeight="1">
      <c r="B32" s="9">
        <v>46240</v>
      </c>
      <c r="C32" s="5" t="s">
        <v>46</v>
      </c>
      <c r="D32" s="6">
        <v>2</v>
      </c>
      <c r="E32" s="12">
        <v>40</v>
      </c>
      <c r="F32" s="12">
        <v>27</v>
      </c>
      <c r="G32" s="12">
        <f t="shared" si="1"/>
        <v>26</v>
      </c>
      <c r="H32" s="83" t="str">
        <f t="shared" si="2"/>
        <v>Thursday</v>
      </c>
      <c r="I32" s="82" t="str">
        <f t="shared" si="0"/>
        <v>Week 1</v>
      </c>
    </row>
    <row r="33" spans="2:9" ht="26.25" customHeight="1">
      <c r="B33" s="9">
        <v>46241</v>
      </c>
      <c r="C33" s="5" t="s">
        <v>19</v>
      </c>
      <c r="D33" s="6">
        <v>8</v>
      </c>
      <c r="E33" s="12">
        <v>270</v>
      </c>
      <c r="F33" s="12">
        <v>253</v>
      </c>
      <c r="G33" s="12">
        <f t="shared" si="1"/>
        <v>136</v>
      </c>
      <c r="H33" s="83" t="str">
        <f t="shared" si="2"/>
        <v>Friday</v>
      </c>
      <c r="I33" s="82" t="str">
        <f t="shared" si="0"/>
        <v>Week 1</v>
      </c>
    </row>
    <row r="34" spans="2:9" ht="26.25" customHeight="1">
      <c r="B34" s="9">
        <v>46241</v>
      </c>
      <c r="C34" s="5" t="s">
        <v>47</v>
      </c>
      <c r="D34" s="6">
        <v>15</v>
      </c>
      <c r="E34" s="12">
        <v>30</v>
      </c>
      <c r="F34" s="12">
        <v>23.5</v>
      </c>
      <c r="G34" s="12">
        <f t="shared" si="1"/>
        <v>97.5</v>
      </c>
      <c r="H34" s="83" t="str">
        <f t="shared" si="2"/>
        <v>Friday</v>
      </c>
      <c r="I34" s="82" t="str">
        <f t="shared" si="0"/>
        <v>Week 1</v>
      </c>
    </row>
    <row r="35" spans="2:9" ht="26.25" customHeight="1">
      <c r="B35" s="9">
        <v>46241</v>
      </c>
      <c r="C35" s="5" t="s">
        <v>48</v>
      </c>
      <c r="D35" s="6">
        <v>8</v>
      </c>
      <c r="E35" s="12">
        <v>25</v>
      </c>
      <c r="F35" s="12">
        <v>22</v>
      </c>
      <c r="G35" s="12">
        <f t="shared" si="1"/>
        <v>24</v>
      </c>
      <c r="H35" s="83" t="str">
        <f t="shared" si="2"/>
        <v>Friday</v>
      </c>
      <c r="I35" s="82" t="str">
        <f t="shared" ref="I35:I58" si="3">"Week " &amp; (INT((B35 - DATE(2026,8,3)) / 7) + 1)</f>
        <v>Week 1</v>
      </c>
    </row>
    <row r="36" spans="2:9" ht="26.25" customHeight="1">
      <c r="B36" s="9">
        <v>46241</v>
      </c>
      <c r="C36" s="5" t="s">
        <v>49</v>
      </c>
      <c r="D36" s="6">
        <v>2</v>
      </c>
      <c r="E36" s="12">
        <v>160</v>
      </c>
      <c r="F36" s="12">
        <v>122</v>
      </c>
      <c r="G36" s="12">
        <f t="shared" si="1"/>
        <v>76</v>
      </c>
      <c r="H36" s="83" t="str">
        <f t="shared" si="2"/>
        <v>Friday</v>
      </c>
      <c r="I36" s="82" t="str">
        <f t="shared" si="3"/>
        <v>Week 1</v>
      </c>
    </row>
    <row r="37" spans="2:9" ht="26.25" customHeight="1">
      <c r="B37" s="9">
        <v>46241</v>
      </c>
      <c r="C37" s="5" t="s">
        <v>50</v>
      </c>
      <c r="D37" s="6">
        <v>20</v>
      </c>
      <c r="E37" s="12">
        <v>4</v>
      </c>
      <c r="F37" s="12">
        <v>1.6</v>
      </c>
      <c r="G37" s="12">
        <f t="shared" si="1"/>
        <v>48</v>
      </c>
      <c r="H37" s="83" t="str">
        <f t="shared" si="2"/>
        <v>Friday</v>
      </c>
      <c r="I37" s="82" t="str">
        <f t="shared" si="3"/>
        <v>Week 1</v>
      </c>
    </row>
    <row r="38" spans="2:9" ht="26.25" customHeight="1">
      <c r="B38" s="9">
        <v>46241</v>
      </c>
      <c r="C38" s="5" t="s">
        <v>51</v>
      </c>
      <c r="D38" s="6">
        <v>1</v>
      </c>
      <c r="E38" s="12">
        <v>1200</v>
      </c>
      <c r="F38" s="12">
        <v>980</v>
      </c>
      <c r="G38" s="12">
        <f t="shared" si="1"/>
        <v>220</v>
      </c>
      <c r="H38" s="83" t="str">
        <f t="shared" si="2"/>
        <v>Friday</v>
      </c>
      <c r="I38" s="82" t="str">
        <f t="shared" si="3"/>
        <v>Week 1</v>
      </c>
    </row>
    <row r="39" spans="2:9" ht="26.25" customHeight="1">
      <c r="B39" s="9">
        <v>46242</v>
      </c>
      <c r="C39" s="5" t="s">
        <v>52</v>
      </c>
      <c r="D39" s="6">
        <v>3</v>
      </c>
      <c r="E39" s="12">
        <v>50</v>
      </c>
      <c r="F39" s="12">
        <v>39.5</v>
      </c>
      <c r="G39" s="12">
        <f t="shared" si="1"/>
        <v>31.5</v>
      </c>
      <c r="H39" s="83" t="str">
        <f t="shared" si="2"/>
        <v>Saturday</v>
      </c>
      <c r="I39" s="82" t="str">
        <f t="shared" si="3"/>
        <v>Week 1</v>
      </c>
    </row>
    <row r="40" spans="2:9" ht="26.25" customHeight="1">
      <c r="B40" s="9">
        <v>46242</v>
      </c>
      <c r="C40" s="5" t="s">
        <v>53</v>
      </c>
      <c r="D40" s="6">
        <v>6</v>
      </c>
      <c r="E40" s="12">
        <v>10</v>
      </c>
      <c r="F40" s="12">
        <v>9.1</v>
      </c>
      <c r="G40" s="12">
        <f t="shared" si="1"/>
        <v>5.4000000000000021</v>
      </c>
      <c r="H40" s="83" t="str">
        <f t="shared" si="2"/>
        <v>Saturday</v>
      </c>
      <c r="I40" s="82" t="str">
        <f t="shared" si="3"/>
        <v>Week 1</v>
      </c>
    </row>
    <row r="41" spans="2:9" ht="26.25" customHeight="1">
      <c r="B41" s="9">
        <v>46242</v>
      </c>
      <c r="C41" s="5" t="s">
        <v>54</v>
      </c>
      <c r="D41" s="6">
        <v>2</v>
      </c>
      <c r="E41" s="12">
        <v>110</v>
      </c>
      <c r="F41" s="12">
        <v>73</v>
      </c>
      <c r="G41" s="12">
        <f t="shared" si="1"/>
        <v>74</v>
      </c>
      <c r="H41" s="83" t="str">
        <f t="shared" si="2"/>
        <v>Saturday</v>
      </c>
      <c r="I41" s="82" t="str">
        <f t="shared" si="3"/>
        <v>Week 1</v>
      </c>
    </row>
    <row r="42" spans="2:9" ht="26.25" customHeight="1">
      <c r="B42" s="9">
        <v>46242</v>
      </c>
      <c r="C42" s="5" t="s">
        <v>55</v>
      </c>
      <c r="D42" s="6">
        <v>3</v>
      </c>
      <c r="E42" s="12">
        <v>130</v>
      </c>
      <c r="F42" s="12">
        <v>112</v>
      </c>
      <c r="G42" s="12">
        <f t="shared" si="1"/>
        <v>54</v>
      </c>
      <c r="H42" s="83" t="str">
        <f t="shared" si="2"/>
        <v>Saturday</v>
      </c>
      <c r="I42" s="82" t="str">
        <f t="shared" si="3"/>
        <v>Week 1</v>
      </c>
    </row>
    <row r="43" spans="2:9" ht="26.25" customHeight="1">
      <c r="B43" s="9">
        <v>46242</v>
      </c>
      <c r="C43" s="5" t="s">
        <v>26</v>
      </c>
      <c r="D43" s="6">
        <v>5</v>
      </c>
      <c r="E43" s="12">
        <v>60</v>
      </c>
      <c r="F43" s="12">
        <v>51</v>
      </c>
      <c r="G43" s="12">
        <f t="shared" si="1"/>
        <v>45</v>
      </c>
      <c r="H43" s="83" t="str">
        <f t="shared" si="2"/>
        <v>Saturday</v>
      </c>
      <c r="I43" s="82" t="str">
        <f t="shared" si="3"/>
        <v>Week 1</v>
      </c>
    </row>
    <row r="44" spans="2:9" ht="26.25" customHeight="1">
      <c r="B44" s="9">
        <v>46242</v>
      </c>
      <c r="C44" s="5" t="s">
        <v>53</v>
      </c>
      <c r="D44" s="6">
        <v>15</v>
      </c>
      <c r="E44" s="12">
        <v>10</v>
      </c>
      <c r="F44" s="12">
        <v>9.1</v>
      </c>
      <c r="G44" s="12">
        <f t="shared" si="1"/>
        <v>13.500000000000005</v>
      </c>
      <c r="H44" s="83" t="str">
        <f t="shared" si="2"/>
        <v>Saturday</v>
      </c>
      <c r="I44" s="82" t="str">
        <f t="shared" si="3"/>
        <v>Week 1</v>
      </c>
    </row>
    <row r="45" spans="2:9" ht="26.25" customHeight="1">
      <c r="B45" s="9">
        <v>46242</v>
      </c>
      <c r="C45" s="5" t="s">
        <v>34</v>
      </c>
      <c r="D45" s="6">
        <v>2</v>
      </c>
      <c r="E45" s="12">
        <v>420</v>
      </c>
      <c r="F45" s="12">
        <v>370</v>
      </c>
      <c r="G45" s="12">
        <f t="shared" si="1"/>
        <v>100</v>
      </c>
      <c r="H45" s="83" t="str">
        <f t="shared" si="2"/>
        <v>Saturday</v>
      </c>
      <c r="I45" s="82" t="str">
        <f t="shared" si="3"/>
        <v>Week 1</v>
      </c>
    </row>
    <row r="46" spans="2:9" ht="26.25" customHeight="1">
      <c r="B46" s="9">
        <v>46242</v>
      </c>
      <c r="C46" s="5" t="s">
        <v>23</v>
      </c>
      <c r="D46" s="6">
        <v>6</v>
      </c>
      <c r="E46" s="12">
        <v>20</v>
      </c>
      <c r="F46" s="12">
        <v>14</v>
      </c>
      <c r="G46" s="12">
        <f t="shared" si="1"/>
        <v>36</v>
      </c>
      <c r="H46" s="83" t="str">
        <f t="shared" si="2"/>
        <v>Saturday</v>
      </c>
      <c r="I46" s="82" t="str">
        <f t="shared" si="3"/>
        <v>Week 1</v>
      </c>
    </row>
    <row r="47" spans="2:9" ht="26.25" customHeight="1">
      <c r="B47" s="9">
        <v>46242</v>
      </c>
      <c r="C47" s="5" t="s">
        <v>56</v>
      </c>
      <c r="D47" s="6">
        <v>1</v>
      </c>
      <c r="E47" s="12">
        <v>380</v>
      </c>
      <c r="F47" s="12">
        <v>340</v>
      </c>
      <c r="G47" s="12">
        <f t="shared" si="1"/>
        <v>40</v>
      </c>
      <c r="H47" s="83" t="str">
        <f t="shared" si="2"/>
        <v>Saturday</v>
      </c>
      <c r="I47" s="82" t="str">
        <f t="shared" si="3"/>
        <v>Week 1</v>
      </c>
    </row>
    <row r="48" spans="2:9" ht="26.25" customHeight="1">
      <c r="B48" s="9">
        <v>46243</v>
      </c>
      <c r="C48" s="5" t="s">
        <v>22</v>
      </c>
      <c r="D48" s="6">
        <v>2</v>
      </c>
      <c r="E48" s="12">
        <v>1300</v>
      </c>
      <c r="F48" s="12">
        <v>1125</v>
      </c>
      <c r="G48" s="12">
        <f t="shared" si="1"/>
        <v>350</v>
      </c>
      <c r="H48" s="83" t="str">
        <f t="shared" si="2"/>
        <v>Sunday</v>
      </c>
      <c r="I48" s="82" t="str">
        <f t="shared" si="3"/>
        <v>Week 1</v>
      </c>
    </row>
    <row r="49" spans="2:9" ht="26.25" customHeight="1">
      <c r="B49" s="9">
        <v>46243</v>
      </c>
      <c r="C49" s="5" t="s">
        <v>27</v>
      </c>
      <c r="D49" s="5">
        <v>1</v>
      </c>
      <c r="E49" s="12">
        <v>60</v>
      </c>
      <c r="F49" s="12">
        <v>57</v>
      </c>
      <c r="G49" s="12">
        <f t="shared" si="1"/>
        <v>3</v>
      </c>
      <c r="H49" s="83" t="str">
        <f t="shared" si="2"/>
        <v>Sunday</v>
      </c>
      <c r="I49" s="82" t="str">
        <f t="shared" si="3"/>
        <v>Week 1</v>
      </c>
    </row>
    <row r="50" spans="2:9" ht="26.25" customHeight="1">
      <c r="B50" s="9">
        <v>46243</v>
      </c>
      <c r="C50" s="5" t="s">
        <v>57</v>
      </c>
      <c r="D50" s="5">
        <v>1</v>
      </c>
      <c r="E50" s="12">
        <v>60</v>
      </c>
      <c r="F50" s="12">
        <v>40</v>
      </c>
      <c r="G50" s="12">
        <f t="shared" si="1"/>
        <v>20</v>
      </c>
      <c r="H50" s="83" t="str">
        <f t="shared" si="2"/>
        <v>Sunday</v>
      </c>
      <c r="I50" s="82" t="str">
        <f t="shared" si="3"/>
        <v>Week 1</v>
      </c>
    </row>
    <row r="51" spans="2:9" ht="26.25" customHeight="1">
      <c r="B51" s="9">
        <v>46243</v>
      </c>
      <c r="C51" s="5" t="s">
        <v>58</v>
      </c>
      <c r="D51" s="5">
        <v>1</v>
      </c>
      <c r="E51" s="12">
        <v>120</v>
      </c>
      <c r="F51" s="12">
        <v>77</v>
      </c>
      <c r="G51" s="12">
        <f t="shared" si="1"/>
        <v>43</v>
      </c>
      <c r="H51" s="83" t="str">
        <f t="shared" si="2"/>
        <v>Sunday</v>
      </c>
      <c r="I51" s="82" t="str">
        <f t="shared" si="3"/>
        <v>Week 1</v>
      </c>
    </row>
    <row r="52" spans="2:9" ht="26.25" customHeight="1">
      <c r="B52" s="9">
        <v>46243</v>
      </c>
      <c r="C52" s="13" t="s">
        <v>59</v>
      </c>
      <c r="D52" s="5">
        <v>1</v>
      </c>
      <c r="E52" s="12">
        <v>150</v>
      </c>
      <c r="F52" s="12">
        <v>114</v>
      </c>
      <c r="G52" s="12">
        <f t="shared" si="1"/>
        <v>36</v>
      </c>
      <c r="H52" s="83" t="str">
        <f t="shared" si="2"/>
        <v>Sunday</v>
      </c>
      <c r="I52" s="82" t="str">
        <f t="shared" si="3"/>
        <v>Week 1</v>
      </c>
    </row>
    <row r="53" spans="2:9" ht="26.25" customHeight="1">
      <c r="B53" s="9">
        <v>46243</v>
      </c>
      <c r="C53" s="5" t="s">
        <v>60</v>
      </c>
      <c r="D53" s="5">
        <v>1</v>
      </c>
      <c r="E53" s="12">
        <v>550</v>
      </c>
      <c r="F53" s="12">
        <v>480</v>
      </c>
      <c r="G53" s="12">
        <f t="shared" si="1"/>
        <v>70</v>
      </c>
      <c r="H53" s="83" t="str">
        <f t="shared" si="2"/>
        <v>Sunday</v>
      </c>
      <c r="I53" s="82" t="str">
        <f t="shared" si="3"/>
        <v>Week 1</v>
      </c>
    </row>
    <row r="54" spans="2:9" ht="26.25" customHeight="1">
      <c r="B54" s="9">
        <v>46243</v>
      </c>
      <c r="C54" s="5" t="s">
        <v>61</v>
      </c>
      <c r="D54" s="5">
        <v>2</v>
      </c>
      <c r="E54" s="12">
        <v>36</v>
      </c>
      <c r="F54" s="12">
        <v>27</v>
      </c>
      <c r="G54" s="12">
        <f t="shared" si="1"/>
        <v>18</v>
      </c>
      <c r="H54" s="83" t="str">
        <f t="shared" si="2"/>
        <v>Sunday</v>
      </c>
      <c r="I54" s="82" t="str">
        <f t="shared" si="3"/>
        <v>Week 1</v>
      </c>
    </row>
    <row r="55" spans="2:9" ht="26.25" customHeight="1">
      <c r="B55" s="14">
        <v>46243</v>
      </c>
      <c r="C55" s="7" t="s">
        <v>62</v>
      </c>
      <c r="D55" s="7">
        <v>4</v>
      </c>
      <c r="E55" s="15">
        <v>5</v>
      </c>
      <c r="F55" s="15">
        <v>2.2999999999999998</v>
      </c>
      <c r="G55" s="15">
        <f t="shared" si="1"/>
        <v>10.8</v>
      </c>
      <c r="H55" s="84" t="str">
        <f t="shared" si="2"/>
        <v>Sunday</v>
      </c>
      <c r="I55" s="82" t="str">
        <f t="shared" si="3"/>
        <v>Week 1</v>
      </c>
    </row>
    <row r="56" spans="2:9" ht="26.25" customHeight="1">
      <c r="B56" s="16">
        <v>46243</v>
      </c>
      <c r="C56" s="17" t="s">
        <v>63</v>
      </c>
      <c r="D56" s="17">
        <v>3</v>
      </c>
      <c r="E56" s="18">
        <v>20</v>
      </c>
      <c r="F56" s="18">
        <v>15.5</v>
      </c>
      <c r="G56" s="18">
        <f t="shared" si="1"/>
        <v>13.5</v>
      </c>
      <c r="H56" s="85" t="str">
        <f t="shared" si="2"/>
        <v>Sunday</v>
      </c>
      <c r="I56" s="82" t="str">
        <f t="shared" si="3"/>
        <v>Week 1</v>
      </c>
    </row>
    <row r="57" spans="2:9" ht="26.25" customHeight="1">
      <c r="B57" s="89">
        <v>46244</v>
      </c>
      <c r="C57" s="90"/>
      <c r="D57" s="90"/>
      <c r="E57" s="82"/>
      <c r="F57" s="82"/>
      <c r="G57" s="82">
        <f t="shared" ref="G57:G58" si="4">(E57-F57)*D57</f>
        <v>0</v>
      </c>
      <c r="H57" s="90" t="str">
        <f t="shared" ref="H57:H58" si="5">TEXT(B57,"dddd")</f>
        <v>Monday</v>
      </c>
      <c r="I57" s="91" t="str">
        <f t="shared" si="3"/>
        <v>Week 2</v>
      </c>
    </row>
    <row r="58" spans="2:9" ht="26.25" customHeight="1">
      <c r="B58" s="89"/>
      <c r="C58" s="90"/>
      <c r="D58" s="90"/>
      <c r="E58" s="82"/>
      <c r="F58" s="82"/>
      <c r="G58" s="82">
        <f t="shared" si="4"/>
        <v>0</v>
      </c>
      <c r="H58" s="90" t="str">
        <f t="shared" si="5"/>
        <v>Saturday</v>
      </c>
      <c r="I58" s="91" t="str">
        <f t="shared" si="3"/>
        <v>Week -6605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D8294-62BD-484F-A80B-A729171D419B}">
  <dimension ref="E2:Y50"/>
  <sheetViews>
    <sheetView topLeftCell="N1" workbookViewId="0">
      <selection activeCell="R8" sqref="R8"/>
    </sheetView>
  </sheetViews>
  <sheetFormatPr defaultColWidth="9.42578125" defaultRowHeight="20.25" customHeight="1"/>
  <cols>
    <col min="5" max="5" width="22.5703125" customWidth="1"/>
    <col min="6" max="6" width="29.42578125" customWidth="1"/>
    <col min="14" max="14" width="22.5703125" customWidth="1"/>
    <col min="15" max="15" width="28.7109375" style="92" customWidth="1"/>
    <col min="24" max="24" width="22.5703125" customWidth="1"/>
    <col min="25" max="25" width="28.140625" customWidth="1"/>
  </cols>
  <sheetData>
    <row r="2" spans="5:25" ht="20.25" customHeight="1">
      <c r="E2" s="93" t="s">
        <v>18</v>
      </c>
      <c r="F2" s="94" t="s">
        <v>64</v>
      </c>
      <c r="N2" s="94" t="s">
        <v>18</v>
      </c>
      <c r="O2" s="95" t="s">
        <v>64</v>
      </c>
      <c r="X2" s="94" t="s">
        <v>18</v>
      </c>
      <c r="Y2" s="94" t="s">
        <v>64</v>
      </c>
    </row>
    <row r="4" spans="5:25" ht="20.25" customHeight="1">
      <c r="E4" s="96" t="s">
        <v>17</v>
      </c>
      <c r="F4" s="98" t="s">
        <v>65</v>
      </c>
      <c r="N4" s="99" t="s">
        <v>12</v>
      </c>
      <c r="O4" s="98" t="s">
        <v>66</v>
      </c>
      <c r="X4" s="99" t="s">
        <v>12</v>
      </c>
      <c r="Y4" s="98" t="s">
        <v>67</v>
      </c>
    </row>
    <row r="5" spans="5:25" ht="17.25" customHeight="1">
      <c r="E5" s="97" t="s">
        <v>68</v>
      </c>
      <c r="F5" s="100">
        <v>562.20000000000005</v>
      </c>
      <c r="N5" s="97" t="s">
        <v>22</v>
      </c>
      <c r="O5" s="100">
        <v>470</v>
      </c>
      <c r="X5" s="101" t="s">
        <v>53</v>
      </c>
      <c r="Y5" s="102">
        <v>21</v>
      </c>
    </row>
    <row r="6" spans="5:25" ht="20.25" customHeight="1">
      <c r="E6" s="97" t="s">
        <v>69</v>
      </c>
      <c r="F6" s="100">
        <v>683</v>
      </c>
      <c r="N6" s="97" t="s">
        <v>34</v>
      </c>
      <c r="O6" s="100">
        <v>380</v>
      </c>
      <c r="X6" s="97" t="s">
        <v>50</v>
      </c>
      <c r="Y6" s="102">
        <v>20</v>
      </c>
    </row>
    <row r="7" spans="5:25" ht="20.25" customHeight="1">
      <c r="E7" s="97" t="s">
        <v>70</v>
      </c>
      <c r="F7" s="100">
        <v>272</v>
      </c>
      <c r="N7" s="97" t="s">
        <v>43</v>
      </c>
      <c r="O7" s="100">
        <v>256</v>
      </c>
      <c r="X7" s="97" t="s">
        <v>47</v>
      </c>
      <c r="Y7" s="102">
        <v>15</v>
      </c>
    </row>
    <row r="8" spans="5:25" ht="20.25" customHeight="1">
      <c r="E8" s="97" t="s">
        <v>71</v>
      </c>
      <c r="F8" s="100">
        <v>558</v>
      </c>
      <c r="N8" s="97" t="s">
        <v>19</v>
      </c>
      <c r="O8" s="100">
        <v>238</v>
      </c>
      <c r="X8" s="97" t="s">
        <v>19</v>
      </c>
      <c r="Y8" s="102">
        <v>14</v>
      </c>
    </row>
    <row r="9" spans="5:25" ht="20.25" customHeight="1">
      <c r="E9" s="97" t="s">
        <v>72</v>
      </c>
      <c r="F9" s="100">
        <v>601.5</v>
      </c>
      <c r="N9" s="97" t="s">
        <v>51</v>
      </c>
      <c r="O9" s="100">
        <v>220</v>
      </c>
      <c r="X9" s="97" t="s">
        <v>26</v>
      </c>
      <c r="Y9" s="102">
        <v>14</v>
      </c>
    </row>
    <row r="10" spans="5:25" ht="20.25" customHeight="1">
      <c r="E10" s="97" t="s">
        <v>73</v>
      </c>
      <c r="F10" s="100">
        <v>399.4</v>
      </c>
      <c r="N10" s="97" t="s">
        <v>28</v>
      </c>
      <c r="O10" s="100">
        <v>162</v>
      </c>
      <c r="X10" s="97" t="s">
        <v>23</v>
      </c>
      <c r="Y10" s="102">
        <v>10</v>
      </c>
    </row>
    <row r="11" spans="5:25" ht="20.25" customHeight="1">
      <c r="E11" s="97" t="s">
        <v>74</v>
      </c>
      <c r="F11" s="100">
        <v>564.29999999999995</v>
      </c>
      <c r="N11" s="97" t="s">
        <v>26</v>
      </c>
      <c r="O11" s="100">
        <v>126</v>
      </c>
      <c r="X11" s="97" t="s">
        <v>24</v>
      </c>
      <c r="Y11" s="102">
        <v>8</v>
      </c>
    </row>
    <row r="12" spans="5:25" ht="20.25" customHeight="1">
      <c r="E12" s="97" t="s">
        <v>75</v>
      </c>
      <c r="F12" s="100">
        <v>3640.3999999999996</v>
      </c>
      <c r="N12" s="97" t="s">
        <v>20</v>
      </c>
      <c r="O12" s="100">
        <v>120</v>
      </c>
      <c r="X12" s="97" t="s">
        <v>48</v>
      </c>
      <c r="Y12" s="102">
        <v>8</v>
      </c>
    </row>
    <row r="13" spans="5:25" ht="20.25" customHeight="1">
      <c r="N13" s="97" t="s">
        <v>47</v>
      </c>
      <c r="O13" s="100">
        <v>97.5</v>
      </c>
      <c r="X13" s="97" t="s">
        <v>33</v>
      </c>
      <c r="Y13" s="102">
        <v>7</v>
      </c>
    </row>
    <row r="14" spans="5:25" ht="20.25" customHeight="1">
      <c r="N14" s="97" t="s">
        <v>45</v>
      </c>
      <c r="O14" s="100">
        <v>96</v>
      </c>
      <c r="X14" s="97" t="s">
        <v>37</v>
      </c>
      <c r="Y14" s="102">
        <v>6</v>
      </c>
    </row>
    <row r="15" spans="5:25" ht="20.25" customHeight="1">
      <c r="N15" s="97" t="s">
        <v>42</v>
      </c>
      <c r="O15" s="100">
        <v>94</v>
      </c>
      <c r="X15" s="97" t="s">
        <v>29</v>
      </c>
      <c r="Y15" s="102">
        <v>6</v>
      </c>
    </row>
    <row r="16" spans="5:25" ht="20.25" customHeight="1">
      <c r="N16" s="97" t="s">
        <v>30</v>
      </c>
      <c r="O16" s="100">
        <v>84</v>
      </c>
      <c r="X16" s="97" t="s">
        <v>39</v>
      </c>
      <c r="Y16" s="102">
        <v>6</v>
      </c>
    </row>
    <row r="17" spans="14:25" ht="20.25" customHeight="1">
      <c r="N17" s="97" t="s">
        <v>49</v>
      </c>
      <c r="O17" s="100">
        <v>76</v>
      </c>
      <c r="X17" s="97" t="s">
        <v>28</v>
      </c>
      <c r="Y17" s="102">
        <v>6</v>
      </c>
    </row>
    <row r="18" spans="14:25" ht="20.25" customHeight="1">
      <c r="N18" s="97" t="s">
        <v>54</v>
      </c>
      <c r="O18" s="100">
        <v>74</v>
      </c>
      <c r="X18" s="97" t="s">
        <v>36</v>
      </c>
      <c r="Y18" s="102">
        <v>5</v>
      </c>
    </row>
    <row r="19" spans="14:25" ht="20.25" customHeight="1">
      <c r="N19" s="97" t="s">
        <v>29</v>
      </c>
      <c r="O19" s="100">
        <v>72</v>
      </c>
      <c r="X19" s="97" t="s">
        <v>30</v>
      </c>
      <c r="Y19" s="102">
        <v>4</v>
      </c>
    </row>
    <row r="20" spans="14:25" ht="20.25" customHeight="1">
      <c r="N20" s="97" t="s">
        <v>60</v>
      </c>
      <c r="O20" s="100">
        <v>70</v>
      </c>
      <c r="X20" s="97" t="s">
        <v>32</v>
      </c>
      <c r="Y20" s="102">
        <v>4</v>
      </c>
    </row>
    <row r="21" spans="14:25" ht="20.25" customHeight="1">
      <c r="N21" s="97" t="s">
        <v>25</v>
      </c>
      <c r="O21" s="100">
        <v>70</v>
      </c>
      <c r="X21" s="97" t="s">
        <v>45</v>
      </c>
      <c r="Y21" s="102">
        <v>4</v>
      </c>
    </row>
    <row r="22" spans="14:25" ht="20.25" customHeight="1">
      <c r="N22" s="97" t="s">
        <v>35</v>
      </c>
      <c r="O22" s="100">
        <v>66</v>
      </c>
      <c r="X22" s="97" t="s">
        <v>27</v>
      </c>
      <c r="Y22" s="102">
        <v>4</v>
      </c>
    </row>
    <row r="23" spans="14:25" ht="20.25" customHeight="1">
      <c r="N23" s="97" t="s">
        <v>23</v>
      </c>
      <c r="O23" s="100">
        <v>64</v>
      </c>
      <c r="X23" s="97" t="s">
        <v>62</v>
      </c>
      <c r="Y23" s="102">
        <v>4</v>
      </c>
    </row>
    <row r="24" spans="14:25" ht="20.25" customHeight="1">
      <c r="N24" s="97" t="s">
        <v>36</v>
      </c>
      <c r="O24" s="100">
        <v>55</v>
      </c>
      <c r="X24" s="97" t="s">
        <v>34</v>
      </c>
      <c r="Y24" s="102">
        <v>4</v>
      </c>
    </row>
    <row r="25" spans="14:25" ht="20.25" customHeight="1">
      <c r="N25" s="97" t="s">
        <v>55</v>
      </c>
      <c r="O25" s="100">
        <v>54</v>
      </c>
      <c r="X25" s="97" t="s">
        <v>63</v>
      </c>
      <c r="Y25" s="102">
        <v>3</v>
      </c>
    </row>
    <row r="26" spans="14:25" ht="20.25" customHeight="1">
      <c r="N26" s="97" t="s">
        <v>21</v>
      </c>
      <c r="O26" s="100">
        <v>52</v>
      </c>
      <c r="X26" s="97" t="s">
        <v>55</v>
      </c>
      <c r="Y26" s="102">
        <v>3</v>
      </c>
    </row>
    <row r="27" spans="14:25" ht="20.25" customHeight="1">
      <c r="N27" s="97" t="s">
        <v>50</v>
      </c>
      <c r="O27" s="100">
        <v>48</v>
      </c>
      <c r="X27" s="97" t="s">
        <v>52</v>
      </c>
      <c r="Y27" s="102">
        <v>3</v>
      </c>
    </row>
    <row r="28" spans="14:25" ht="20.25" customHeight="1">
      <c r="N28" s="97" t="s">
        <v>37</v>
      </c>
      <c r="O28" s="100">
        <v>48</v>
      </c>
      <c r="X28" s="97" t="s">
        <v>22</v>
      </c>
      <c r="Y28" s="102">
        <v>3</v>
      </c>
    </row>
    <row r="29" spans="14:25" ht="20.25" customHeight="1">
      <c r="N29" s="97" t="s">
        <v>41</v>
      </c>
      <c r="O29" s="100">
        <v>48</v>
      </c>
      <c r="X29" s="97" t="s">
        <v>43</v>
      </c>
      <c r="Y29" s="102">
        <v>2</v>
      </c>
    </row>
    <row r="30" spans="14:25" ht="20.25" customHeight="1">
      <c r="N30" s="97" t="s">
        <v>58</v>
      </c>
      <c r="O30" s="100">
        <v>43</v>
      </c>
      <c r="X30" s="97" t="s">
        <v>61</v>
      </c>
      <c r="Y30" s="102">
        <v>2</v>
      </c>
    </row>
    <row r="31" spans="14:25" ht="20.25" customHeight="1">
      <c r="N31" s="97" t="s">
        <v>56</v>
      </c>
      <c r="O31" s="100">
        <v>40</v>
      </c>
      <c r="X31" s="97" t="s">
        <v>44</v>
      </c>
      <c r="Y31" s="102">
        <v>2</v>
      </c>
    </row>
    <row r="32" spans="14:25" ht="20.25" customHeight="1">
      <c r="N32" s="97" t="s">
        <v>44</v>
      </c>
      <c r="O32" s="100">
        <v>38</v>
      </c>
      <c r="X32" s="97" t="s">
        <v>40</v>
      </c>
      <c r="Y32" s="102">
        <v>2</v>
      </c>
    </row>
    <row r="33" spans="14:25" ht="20.25" customHeight="1">
      <c r="N33" s="97" t="s">
        <v>59</v>
      </c>
      <c r="O33" s="100">
        <v>36</v>
      </c>
      <c r="X33" s="97" t="s">
        <v>42</v>
      </c>
      <c r="Y33" s="102">
        <v>2</v>
      </c>
    </row>
    <row r="34" spans="14:25" ht="20.25" customHeight="1">
      <c r="N34" s="97" t="s">
        <v>38</v>
      </c>
      <c r="O34" s="100">
        <v>36</v>
      </c>
      <c r="X34" s="97" t="s">
        <v>41</v>
      </c>
      <c r="Y34" s="102">
        <v>2</v>
      </c>
    </row>
    <row r="35" spans="14:25" ht="20.25" customHeight="1">
      <c r="N35" s="97" t="s">
        <v>40</v>
      </c>
      <c r="O35" s="100">
        <v>32</v>
      </c>
      <c r="X35" s="97" t="s">
        <v>21</v>
      </c>
      <c r="Y35" s="102">
        <v>2</v>
      </c>
    </row>
    <row r="36" spans="14:25" ht="20.25" customHeight="1">
      <c r="N36" s="97" t="s">
        <v>52</v>
      </c>
      <c r="O36" s="100">
        <v>31.5</v>
      </c>
      <c r="X36" s="97" t="s">
        <v>46</v>
      </c>
      <c r="Y36" s="102">
        <v>2</v>
      </c>
    </row>
    <row r="37" spans="14:25" ht="20.25" customHeight="1">
      <c r="N37" s="97" t="s">
        <v>31</v>
      </c>
      <c r="O37" s="100">
        <v>30</v>
      </c>
      <c r="X37" s="97" t="s">
        <v>38</v>
      </c>
      <c r="Y37" s="102">
        <v>2</v>
      </c>
    </row>
    <row r="38" spans="14:25" ht="20.25" customHeight="1">
      <c r="N38" s="97" t="s">
        <v>32</v>
      </c>
      <c r="O38" s="100">
        <v>28</v>
      </c>
      <c r="X38" s="97" t="s">
        <v>49</v>
      </c>
      <c r="Y38" s="102">
        <v>2</v>
      </c>
    </row>
    <row r="39" spans="14:25" ht="20.25" customHeight="1">
      <c r="N39" s="97" t="s">
        <v>46</v>
      </c>
      <c r="O39" s="100">
        <v>26</v>
      </c>
      <c r="X39" s="97" t="s">
        <v>35</v>
      </c>
      <c r="Y39" s="102">
        <v>2</v>
      </c>
    </row>
    <row r="40" spans="14:25" ht="20.25" customHeight="1">
      <c r="N40" s="97" t="s">
        <v>48</v>
      </c>
      <c r="O40" s="100">
        <v>24</v>
      </c>
      <c r="X40" s="97" t="s">
        <v>54</v>
      </c>
      <c r="Y40" s="102">
        <v>2</v>
      </c>
    </row>
    <row r="41" spans="14:25" ht="20.25" customHeight="1">
      <c r="N41" s="97" t="s">
        <v>39</v>
      </c>
      <c r="O41" s="100">
        <v>21</v>
      </c>
      <c r="X41" s="97" t="s">
        <v>31</v>
      </c>
      <c r="Y41" s="102">
        <v>2</v>
      </c>
    </row>
    <row r="42" spans="14:25" ht="20.25" customHeight="1">
      <c r="N42" s="97" t="s">
        <v>57</v>
      </c>
      <c r="O42" s="100">
        <v>20</v>
      </c>
      <c r="X42" s="97" t="s">
        <v>51</v>
      </c>
      <c r="Y42" s="102">
        <v>1</v>
      </c>
    </row>
    <row r="43" spans="14:25" ht="20.25" customHeight="1">
      <c r="N43" s="97" t="s">
        <v>53</v>
      </c>
      <c r="O43" s="100">
        <v>18.900000000000006</v>
      </c>
      <c r="X43" s="97" t="s">
        <v>59</v>
      </c>
      <c r="Y43" s="102">
        <v>1</v>
      </c>
    </row>
    <row r="44" spans="14:25" ht="20.25" customHeight="1">
      <c r="N44" s="97" t="s">
        <v>61</v>
      </c>
      <c r="O44" s="100">
        <v>18</v>
      </c>
      <c r="X44" s="97" t="s">
        <v>58</v>
      </c>
      <c r="Y44" s="102">
        <v>1</v>
      </c>
    </row>
    <row r="45" spans="14:25" ht="20.25" customHeight="1">
      <c r="N45" s="97" t="s">
        <v>33</v>
      </c>
      <c r="O45" s="100">
        <v>14</v>
      </c>
      <c r="X45" s="97" t="s">
        <v>57</v>
      </c>
      <c r="Y45" s="102">
        <v>1</v>
      </c>
    </row>
    <row r="46" spans="14:25" ht="20.25" customHeight="1">
      <c r="N46" s="97" t="s">
        <v>63</v>
      </c>
      <c r="O46" s="100">
        <v>13.5</v>
      </c>
      <c r="X46" s="97" t="s">
        <v>25</v>
      </c>
      <c r="Y46" s="102">
        <v>1</v>
      </c>
    </row>
    <row r="47" spans="14:25" ht="20.25" customHeight="1">
      <c r="N47" s="97" t="s">
        <v>27</v>
      </c>
      <c r="O47" s="100">
        <v>12</v>
      </c>
      <c r="X47" s="97" t="s">
        <v>20</v>
      </c>
      <c r="Y47" s="102">
        <v>1</v>
      </c>
    </row>
    <row r="48" spans="14:25" ht="20.25" customHeight="1">
      <c r="N48" s="97" t="s">
        <v>62</v>
      </c>
      <c r="O48" s="100">
        <v>10.8</v>
      </c>
      <c r="X48" s="97" t="s">
        <v>56</v>
      </c>
      <c r="Y48" s="102">
        <v>1</v>
      </c>
    </row>
    <row r="49" spans="14:25" ht="20.25" customHeight="1">
      <c r="N49" s="97" t="s">
        <v>24</v>
      </c>
      <c r="O49" s="100">
        <v>7.2000000000000028</v>
      </c>
      <c r="X49" s="97" t="s">
        <v>60</v>
      </c>
      <c r="Y49" s="102">
        <v>1</v>
      </c>
    </row>
    <row r="50" spans="14:25" ht="20.25" customHeight="1">
      <c r="N50" s="97" t="s">
        <v>75</v>
      </c>
      <c r="O50" s="100">
        <v>3640.4</v>
      </c>
      <c r="X50" s="97" t="s">
        <v>75</v>
      </c>
      <c r="Y50" s="102">
        <v>216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BA6D1-7A46-4C74-B3A5-B1589CF6AF17}">
  <dimension ref="B2:BO77"/>
  <sheetViews>
    <sheetView workbookViewId="0">
      <selection activeCell="CM59" sqref="CM59"/>
    </sheetView>
  </sheetViews>
  <sheetFormatPr defaultRowHeight="15"/>
  <sheetData>
    <row r="2" spans="2:67">
      <c r="B2" s="61" t="s">
        <v>76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3"/>
    </row>
    <row r="3" spans="2:67">
      <c r="B3" s="64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6"/>
    </row>
    <row r="4" spans="2:67">
      <c r="B4" s="64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6"/>
    </row>
    <row r="5" spans="2:67">
      <c r="B5" s="64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6"/>
    </row>
    <row r="6" spans="2:67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67">
      <c r="B7" s="67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9"/>
    </row>
    <row r="10" spans="2:67" ht="15" customHeight="1">
      <c r="B10" s="52" t="s">
        <v>77</v>
      </c>
      <c r="C10" s="53"/>
      <c r="D10" s="54"/>
      <c r="E10" s="52" t="s">
        <v>78</v>
      </c>
      <c r="F10" s="53"/>
      <c r="G10" s="54"/>
      <c r="H10" s="52" t="s">
        <v>79</v>
      </c>
      <c r="I10" s="53"/>
      <c r="J10" s="54"/>
      <c r="K10" s="52" t="s">
        <v>80</v>
      </c>
      <c r="L10" s="53"/>
      <c r="M10" s="54"/>
      <c r="N10" s="52" t="s">
        <v>81</v>
      </c>
      <c r="O10" s="53"/>
      <c r="P10" s="54"/>
      <c r="S10" s="52" t="s">
        <v>82</v>
      </c>
      <c r="T10" s="53"/>
      <c r="U10" s="54"/>
      <c r="V10" s="52" t="s">
        <v>83</v>
      </c>
      <c r="W10" s="53"/>
      <c r="X10" s="54"/>
      <c r="Y10" s="52" t="s">
        <v>84</v>
      </c>
      <c r="Z10" s="53"/>
      <c r="AA10" s="54"/>
      <c r="AB10" s="52" t="s">
        <v>85</v>
      </c>
      <c r="AC10" s="53"/>
      <c r="AD10" s="54"/>
      <c r="AE10" s="52" t="s">
        <v>86</v>
      </c>
      <c r="AF10" s="53"/>
      <c r="AG10" s="54"/>
      <c r="AJ10" s="52" t="s">
        <v>87</v>
      </c>
      <c r="AK10" s="53"/>
      <c r="AL10" s="54"/>
      <c r="AM10" s="52" t="s">
        <v>83</v>
      </c>
      <c r="AN10" s="53"/>
      <c r="AO10" s="54"/>
      <c r="AP10" s="52" t="s">
        <v>84</v>
      </c>
      <c r="AQ10" s="53"/>
      <c r="AR10" s="54"/>
      <c r="AS10" s="52" t="s">
        <v>85</v>
      </c>
      <c r="AT10" s="53"/>
      <c r="AU10" s="54"/>
      <c r="AV10" s="52" t="s">
        <v>86</v>
      </c>
      <c r="AW10" s="53"/>
      <c r="AX10" s="54"/>
      <c r="BA10" s="52" t="s">
        <v>88</v>
      </c>
      <c r="BB10" s="53"/>
      <c r="BC10" s="54"/>
      <c r="BD10" s="52" t="s">
        <v>83</v>
      </c>
      <c r="BE10" s="53"/>
      <c r="BF10" s="54"/>
      <c r="BG10" s="52" t="s">
        <v>84</v>
      </c>
      <c r="BH10" s="53"/>
      <c r="BI10" s="54"/>
      <c r="BJ10" s="52" t="s">
        <v>85</v>
      </c>
      <c r="BK10" s="53"/>
      <c r="BL10" s="54"/>
      <c r="BM10" s="52" t="s">
        <v>86</v>
      </c>
      <c r="BN10" s="53"/>
      <c r="BO10" s="54"/>
    </row>
    <row r="11" spans="2:67" ht="15" customHeight="1">
      <c r="B11" s="55"/>
      <c r="C11" s="56"/>
      <c r="D11" s="57"/>
      <c r="E11" s="55"/>
      <c r="F11" s="56"/>
      <c r="G11" s="57"/>
      <c r="H11" s="55"/>
      <c r="I11" s="56"/>
      <c r="J11" s="57"/>
      <c r="K11" s="55"/>
      <c r="L11" s="56"/>
      <c r="M11" s="57"/>
      <c r="N11" s="55"/>
      <c r="O11" s="56"/>
      <c r="P11" s="57"/>
      <c r="S11" s="55"/>
      <c r="T11" s="56"/>
      <c r="U11" s="57"/>
      <c r="V11" s="55"/>
      <c r="W11" s="56"/>
      <c r="X11" s="57"/>
      <c r="Y11" s="55"/>
      <c r="Z11" s="56"/>
      <c r="AA11" s="57"/>
      <c r="AB11" s="55"/>
      <c r="AC11" s="56"/>
      <c r="AD11" s="57"/>
      <c r="AE11" s="55"/>
      <c r="AF11" s="56"/>
      <c r="AG11" s="57"/>
      <c r="AJ11" s="55"/>
      <c r="AK11" s="56"/>
      <c r="AL11" s="57"/>
      <c r="AM11" s="55"/>
      <c r="AN11" s="56"/>
      <c r="AO11" s="57"/>
      <c r="AP11" s="55"/>
      <c r="AQ11" s="56"/>
      <c r="AR11" s="57"/>
      <c r="AS11" s="55"/>
      <c r="AT11" s="56"/>
      <c r="AU11" s="57"/>
      <c r="AV11" s="55"/>
      <c r="AW11" s="56"/>
      <c r="AX11" s="57"/>
      <c r="BA11" s="55"/>
      <c r="BB11" s="56"/>
      <c r="BC11" s="57"/>
      <c r="BD11" s="55"/>
      <c r="BE11" s="56"/>
      <c r="BF11" s="57"/>
      <c r="BG11" s="55"/>
      <c r="BH11" s="56"/>
      <c r="BI11" s="57"/>
      <c r="BJ11" s="55"/>
      <c r="BK11" s="56"/>
      <c r="BL11" s="57"/>
      <c r="BM11" s="55"/>
      <c r="BN11" s="56"/>
      <c r="BO11" s="57"/>
    </row>
    <row r="12" spans="2:67" ht="15" customHeight="1">
      <c r="B12" s="55"/>
      <c r="C12" s="56"/>
      <c r="D12" s="57"/>
      <c r="E12" s="55"/>
      <c r="F12" s="56"/>
      <c r="G12" s="57"/>
      <c r="H12" s="55"/>
      <c r="I12" s="56"/>
      <c r="J12" s="57"/>
      <c r="K12" s="55"/>
      <c r="L12" s="56"/>
      <c r="M12" s="57"/>
      <c r="N12" s="55"/>
      <c r="O12" s="56"/>
      <c r="P12" s="57"/>
      <c r="S12" s="55"/>
      <c r="T12" s="56"/>
      <c r="U12" s="57"/>
      <c r="V12" s="55"/>
      <c r="W12" s="56"/>
      <c r="X12" s="57"/>
      <c r="Y12" s="55"/>
      <c r="Z12" s="56"/>
      <c r="AA12" s="57"/>
      <c r="AB12" s="55"/>
      <c r="AC12" s="56"/>
      <c r="AD12" s="57"/>
      <c r="AE12" s="55"/>
      <c r="AF12" s="56"/>
      <c r="AG12" s="57"/>
      <c r="AJ12" s="55"/>
      <c r="AK12" s="56"/>
      <c r="AL12" s="57"/>
      <c r="AM12" s="55"/>
      <c r="AN12" s="56"/>
      <c r="AO12" s="57"/>
      <c r="AP12" s="55"/>
      <c r="AQ12" s="56"/>
      <c r="AR12" s="57"/>
      <c r="AS12" s="55"/>
      <c r="AT12" s="56"/>
      <c r="AU12" s="57"/>
      <c r="AV12" s="55"/>
      <c r="AW12" s="56"/>
      <c r="AX12" s="57"/>
      <c r="BA12" s="55"/>
      <c r="BB12" s="56"/>
      <c r="BC12" s="57"/>
      <c r="BD12" s="55"/>
      <c r="BE12" s="56"/>
      <c r="BF12" s="57"/>
      <c r="BG12" s="55"/>
      <c r="BH12" s="56"/>
      <c r="BI12" s="57"/>
      <c r="BJ12" s="55"/>
      <c r="BK12" s="56"/>
      <c r="BL12" s="57"/>
      <c r="BM12" s="55"/>
      <c r="BN12" s="56"/>
      <c r="BO12" s="57"/>
    </row>
    <row r="13" spans="2:67" ht="15" customHeight="1">
      <c r="B13" s="58"/>
      <c r="C13" s="70"/>
      <c r="D13" s="71"/>
      <c r="E13" s="72"/>
      <c r="F13" s="70"/>
      <c r="G13" s="71"/>
      <c r="H13" s="72"/>
      <c r="I13" s="70"/>
      <c r="J13" s="71"/>
      <c r="K13" s="72"/>
      <c r="L13" s="70"/>
      <c r="M13" s="71"/>
      <c r="N13" s="72"/>
      <c r="O13" s="70"/>
      <c r="P13" s="60"/>
      <c r="S13" s="58"/>
      <c r="T13" s="59"/>
      <c r="U13" s="60"/>
      <c r="V13" s="58"/>
      <c r="W13" s="59"/>
      <c r="X13" s="60"/>
      <c r="Y13" s="58"/>
      <c r="Z13" s="59"/>
      <c r="AA13" s="60"/>
      <c r="AB13" s="58"/>
      <c r="AC13" s="59"/>
      <c r="AD13" s="60"/>
      <c r="AE13" s="58"/>
      <c r="AF13" s="59"/>
      <c r="AG13" s="60"/>
      <c r="AJ13" s="58"/>
      <c r="AK13" s="59"/>
      <c r="AL13" s="60"/>
      <c r="AM13" s="58"/>
      <c r="AN13" s="59"/>
      <c r="AO13" s="60"/>
      <c r="AP13" s="58"/>
      <c r="AQ13" s="59"/>
      <c r="AR13" s="60"/>
      <c r="AS13" s="58"/>
      <c r="AT13" s="59"/>
      <c r="AU13" s="60"/>
      <c r="AV13" s="58"/>
      <c r="AW13" s="59"/>
      <c r="AX13" s="60"/>
      <c r="BA13" s="58"/>
      <c r="BB13" s="59"/>
      <c r="BC13" s="60"/>
      <c r="BD13" s="58"/>
      <c r="BE13" s="59"/>
      <c r="BF13" s="60"/>
      <c r="BG13" s="58"/>
      <c r="BH13" s="59"/>
      <c r="BI13" s="60"/>
      <c r="BJ13" s="58"/>
      <c r="BK13" s="59"/>
      <c r="BL13" s="60"/>
      <c r="BM13" s="58"/>
      <c r="BN13" s="59"/>
      <c r="BO13" s="60"/>
    </row>
    <row r="14" spans="2:67">
      <c r="C14" s="73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5"/>
      <c r="T14" s="73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5"/>
      <c r="AK14" s="73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5"/>
      <c r="BB14" s="73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5"/>
    </row>
    <row r="15" spans="2:67">
      <c r="C15" s="76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8"/>
      <c r="T15" s="76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8"/>
      <c r="AK15" s="76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8"/>
      <c r="BB15" s="76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8"/>
    </row>
    <row r="16" spans="2:67">
      <c r="C16" s="76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8"/>
      <c r="T16" s="76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8"/>
      <c r="AK16" s="76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8"/>
      <c r="BB16" s="76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8"/>
    </row>
    <row r="17" spans="3:66">
      <c r="C17" s="76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8"/>
      <c r="T17" s="76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8"/>
      <c r="AK17" s="76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8"/>
      <c r="BB17" s="76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8"/>
    </row>
    <row r="18" spans="3:66">
      <c r="C18" s="76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8"/>
      <c r="T18" s="76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8"/>
      <c r="AK18" s="76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8"/>
      <c r="BB18" s="76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8"/>
    </row>
    <row r="19" spans="3:66">
      <c r="C19" s="76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8"/>
      <c r="T19" s="76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8"/>
      <c r="AK19" s="76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8"/>
      <c r="BB19" s="76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8"/>
    </row>
    <row r="20" spans="3:66">
      <c r="C20" s="76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8"/>
      <c r="T20" s="76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8"/>
      <c r="AK20" s="76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8"/>
      <c r="BB20" s="76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8"/>
    </row>
    <row r="21" spans="3:66">
      <c r="C21" s="76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8"/>
      <c r="T21" s="76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8"/>
      <c r="AK21" s="76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8"/>
      <c r="BB21" s="76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8"/>
    </row>
    <row r="22" spans="3:66">
      <c r="C22" s="76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8"/>
      <c r="T22" s="76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8"/>
      <c r="AK22" s="76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8"/>
      <c r="BB22" s="76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8"/>
    </row>
    <row r="23" spans="3:66">
      <c r="C23" s="76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8"/>
      <c r="T23" s="76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8"/>
      <c r="AK23" s="76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8"/>
      <c r="BB23" s="76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8"/>
    </row>
    <row r="24" spans="3:66">
      <c r="C24" s="76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8"/>
      <c r="T24" s="76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8"/>
      <c r="AK24" s="76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8"/>
      <c r="BB24" s="76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8"/>
    </row>
    <row r="25" spans="3:66">
      <c r="C25" s="76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8"/>
      <c r="T25" s="76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8"/>
      <c r="AK25" s="76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8"/>
      <c r="BB25" s="76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8"/>
    </row>
    <row r="26" spans="3:66">
      <c r="C26" s="76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8"/>
      <c r="T26" s="76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8"/>
      <c r="AK26" s="76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8"/>
      <c r="BB26" s="76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8"/>
    </row>
    <row r="27" spans="3:66">
      <c r="C27" s="76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8"/>
      <c r="T27" s="76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8"/>
      <c r="AK27" s="76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8"/>
      <c r="BB27" s="76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8"/>
    </row>
    <row r="28" spans="3:66">
      <c r="C28" s="76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8"/>
      <c r="T28" s="76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8"/>
      <c r="AK28" s="76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8"/>
      <c r="BB28" s="76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8"/>
    </row>
    <row r="29" spans="3:66">
      <c r="C29" s="76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8"/>
      <c r="T29" s="76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8"/>
      <c r="AK29" s="76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8"/>
      <c r="BB29" s="76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8"/>
    </row>
    <row r="30" spans="3:66">
      <c r="C30" s="76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8"/>
      <c r="T30" s="76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8"/>
      <c r="AK30" s="76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8"/>
      <c r="BB30" s="76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8"/>
    </row>
    <row r="31" spans="3:66">
      <c r="C31" s="76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8"/>
      <c r="T31" s="76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8"/>
      <c r="AK31" s="76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8"/>
      <c r="BB31" s="76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8"/>
    </row>
    <row r="32" spans="3:66">
      <c r="C32" s="76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8"/>
      <c r="T32" s="76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8"/>
      <c r="AK32" s="76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8"/>
      <c r="BB32" s="76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8"/>
    </row>
    <row r="33" spans="3:66">
      <c r="C33" s="79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1"/>
      <c r="T33" s="79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1"/>
      <c r="AK33" s="79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1"/>
      <c r="BB33" s="79"/>
      <c r="BC33" s="80"/>
      <c r="BD33" s="80"/>
      <c r="BE33" s="80"/>
      <c r="BF33" s="80"/>
      <c r="BG33" s="80"/>
      <c r="BH33" s="80"/>
      <c r="BI33" s="80"/>
      <c r="BJ33" s="80"/>
      <c r="BK33" s="80"/>
      <c r="BL33" s="80"/>
      <c r="BM33" s="80"/>
      <c r="BN33" s="81"/>
    </row>
    <row r="36" spans="3:66">
      <c r="C36" s="73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5"/>
      <c r="T36" s="73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5"/>
      <c r="AK36" s="73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5"/>
      <c r="BB36" s="73"/>
      <c r="BC36" s="74"/>
      <c r="BD36" s="74"/>
      <c r="BE36" s="74"/>
      <c r="BF36" s="74"/>
      <c r="BG36" s="74"/>
      <c r="BH36" s="74"/>
      <c r="BI36" s="74"/>
      <c r="BJ36" s="74"/>
      <c r="BK36" s="74"/>
      <c r="BL36" s="74"/>
      <c r="BM36" s="74"/>
      <c r="BN36" s="75"/>
    </row>
    <row r="37" spans="3:66">
      <c r="C37" s="76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8"/>
      <c r="T37" s="76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8"/>
      <c r="AK37" s="76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8"/>
      <c r="BB37" s="76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8"/>
    </row>
    <row r="38" spans="3:66">
      <c r="C38" s="76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8"/>
      <c r="T38" s="76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8"/>
      <c r="AK38" s="76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8"/>
      <c r="BB38" s="76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8"/>
    </row>
    <row r="39" spans="3:66">
      <c r="C39" s="76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8"/>
      <c r="T39" s="76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8"/>
      <c r="AK39" s="76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8"/>
      <c r="BB39" s="76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8"/>
    </row>
    <row r="40" spans="3:66">
      <c r="C40" s="76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8"/>
      <c r="T40" s="76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8"/>
      <c r="AK40" s="76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8"/>
      <c r="BB40" s="76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8"/>
    </row>
    <row r="41" spans="3:66">
      <c r="C41" s="76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8"/>
      <c r="T41" s="76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8"/>
      <c r="AK41" s="76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8"/>
      <c r="BB41" s="76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8"/>
    </row>
    <row r="42" spans="3:66">
      <c r="C42" s="76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8"/>
      <c r="T42" s="76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8"/>
      <c r="AK42" s="76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8"/>
      <c r="BB42" s="76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8"/>
    </row>
    <row r="43" spans="3:66">
      <c r="C43" s="76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8"/>
      <c r="T43" s="76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8"/>
      <c r="AK43" s="76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8"/>
      <c r="BB43" s="76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8"/>
    </row>
    <row r="44" spans="3:66">
      <c r="C44" s="76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8"/>
      <c r="T44" s="76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8"/>
      <c r="AK44" s="76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8"/>
      <c r="BB44" s="76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8"/>
    </row>
    <row r="45" spans="3:66">
      <c r="C45" s="76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8"/>
      <c r="T45" s="76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8"/>
      <c r="AK45" s="76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8"/>
      <c r="BB45" s="76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8"/>
    </row>
    <row r="46" spans="3:66">
      <c r="C46" s="76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8"/>
      <c r="T46" s="76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8"/>
      <c r="AK46" s="76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8"/>
      <c r="BB46" s="76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8"/>
    </row>
    <row r="47" spans="3:66">
      <c r="C47" s="76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8"/>
      <c r="T47" s="76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8"/>
      <c r="AK47" s="76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8"/>
      <c r="BB47" s="76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8"/>
    </row>
    <row r="48" spans="3:66">
      <c r="C48" s="76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8"/>
      <c r="T48" s="76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8"/>
      <c r="AK48" s="76"/>
      <c r="AL48" s="77"/>
      <c r="AM48" s="77"/>
      <c r="AN48" s="77"/>
      <c r="AO48" s="77"/>
      <c r="AP48" s="77"/>
      <c r="AQ48" s="77"/>
      <c r="AR48" s="77"/>
      <c r="AS48" s="77"/>
      <c r="AT48" s="77"/>
      <c r="AU48" s="77"/>
      <c r="AV48" s="77"/>
      <c r="AW48" s="78"/>
      <c r="BB48" s="76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77"/>
      <c r="BN48" s="78"/>
    </row>
    <row r="49" spans="3:66">
      <c r="C49" s="76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8"/>
      <c r="T49" s="76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8"/>
      <c r="AK49" s="76"/>
      <c r="AL49" s="77"/>
      <c r="AM49" s="77"/>
      <c r="AN49" s="77"/>
      <c r="AO49" s="77"/>
      <c r="AP49" s="77"/>
      <c r="AQ49" s="77"/>
      <c r="AR49" s="77"/>
      <c r="AS49" s="77"/>
      <c r="AT49" s="77"/>
      <c r="AU49" s="77"/>
      <c r="AV49" s="77"/>
      <c r="AW49" s="78"/>
      <c r="BB49" s="76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77"/>
      <c r="BN49" s="78"/>
    </row>
    <row r="50" spans="3:66">
      <c r="C50" s="76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8"/>
      <c r="T50" s="76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8"/>
      <c r="AK50" s="76"/>
      <c r="AL50" s="77"/>
      <c r="AM50" s="77"/>
      <c r="AN50" s="77"/>
      <c r="AO50" s="77"/>
      <c r="AP50" s="77"/>
      <c r="AQ50" s="77"/>
      <c r="AR50" s="77"/>
      <c r="AS50" s="77"/>
      <c r="AT50" s="77"/>
      <c r="AU50" s="77"/>
      <c r="AV50" s="77"/>
      <c r="AW50" s="78"/>
      <c r="BB50" s="76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77"/>
      <c r="BN50" s="78"/>
    </row>
    <row r="51" spans="3:66">
      <c r="C51" s="76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8"/>
      <c r="T51" s="76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8"/>
      <c r="AK51" s="76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8"/>
      <c r="BB51" s="76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7"/>
      <c r="BN51" s="78"/>
    </row>
    <row r="52" spans="3:66">
      <c r="C52" s="76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8"/>
      <c r="T52" s="76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8"/>
      <c r="AK52" s="76"/>
      <c r="AL52" s="77"/>
      <c r="AM52" s="77"/>
      <c r="AN52" s="77"/>
      <c r="AO52" s="77"/>
      <c r="AP52" s="77"/>
      <c r="AQ52" s="77"/>
      <c r="AR52" s="77"/>
      <c r="AS52" s="77"/>
      <c r="AT52" s="77"/>
      <c r="AU52" s="77"/>
      <c r="AV52" s="77"/>
      <c r="AW52" s="78"/>
      <c r="BB52" s="76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77"/>
      <c r="BN52" s="78"/>
    </row>
    <row r="53" spans="3:66">
      <c r="C53" s="76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8"/>
      <c r="T53" s="76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8"/>
      <c r="AK53" s="76"/>
      <c r="AL53" s="77"/>
      <c r="AM53" s="77"/>
      <c r="AN53" s="77"/>
      <c r="AO53" s="77"/>
      <c r="AP53" s="77"/>
      <c r="AQ53" s="77"/>
      <c r="AR53" s="77"/>
      <c r="AS53" s="77"/>
      <c r="AT53" s="77"/>
      <c r="AU53" s="77"/>
      <c r="AV53" s="77"/>
      <c r="AW53" s="78"/>
      <c r="BB53" s="76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77"/>
      <c r="BN53" s="78"/>
    </row>
    <row r="54" spans="3:66">
      <c r="C54" s="76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8"/>
      <c r="T54" s="76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8"/>
      <c r="AK54" s="76"/>
      <c r="AL54" s="77"/>
      <c r="AM54" s="77"/>
      <c r="AN54" s="77"/>
      <c r="AO54" s="77"/>
      <c r="AP54" s="77"/>
      <c r="AQ54" s="77"/>
      <c r="AR54" s="77"/>
      <c r="AS54" s="77"/>
      <c r="AT54" s="77"/>
      <c r="AU54" s="77"/>
      <c r="AV54" s="77"/>
      <c r="AW54" s="78"/>
      <c r="BB54" s="76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77"/>
      <c r="BN54" s="78"/>
    </row>
    <row r="55" spans="3:66">
      <c r="C55" s="79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1"/>
      <c r="T55" s="79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1"/>
      <c r="AK55" s="79"/>
      <c r="AL55" s="80"/>
      <c r="AM55" s="80"/>
      <c r="AN55" s="80"/>
      <c r="AO55" s="80"/>
      <c r="AP55" s="80"/>
      <c r="AQ55" s="80"/>
      <c r="AR55" s="80"/>
      <c r="AS55" s="80"/>
      <c r="AT55" s="80"/>
      <c r="AU55" s="80"/>
      <c r="AV55" s="80"/>
      <c r="AW55" s="81"/>
      <c r="BB55" s="79"/>
      <c r="BC55" s="80"/>
      <c r="BD55" s="80"/>
      <c r="BE55" s="80"/>
      <c r="BF55" s="80"/>
      <c r="BG55" s="80"/>
      <c r="BH55" s="80"/>
      <c r="BI55" s="80"/>
      <c r="BJ55" s="80"/>
      <c r="BK55" s="80"/>
      <c r="BL55" s="80"/>
      <c r="BM55" s="80"/>
      <c r="BN55" s="81"/>
    </row>
    <row r="58" spans="3:66">
      <c r="C58" s="73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5"/>
      <c r="T58" s="73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5"/>
      <c r="AK58" s="73"/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5"/>
      <c r="BB58" s="73"/>
      <c r="BC58" s="74"/>
      <c r="BD58" s="74"/>
      <c r="BE58" s="74"/>
      <c r="BF58" s="74"/>
      <c r="BG58" s="74"/>
      <c r="BH58" s="74"/>
      <c r="BI58" s="74"/>
      <c r="BJ58" s="74"/>
      <c r="BK58" s="74"/>
      <c r="BL58" s="74"/>
      <c r="BM58" s="74"/>
      <c r="BN58" s="75"/>
    </row>
    <row r="59" spans="3:66">
      <c r="C59" s="76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8"/>
      <c r="T59" s="76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8"/>
      <c r="AK59" s="76"/>
      <c r="AL59" s="77"/>
      <c r="AM59" s="77"/>
      <c r="AN59" s="77"/>
      <c r="AO59" s="77"/>
      <c r="AP59" s="77"/>
      <c r="AQ59" s="77"/>
      <c r="AR59" s="77"/>
      <c r="AS59" s="77"/>
      <c r="AT59" s="77"/>
      <c r="AU59" s="77"/>
      <c r="AV59" s="77"/>
      <c r="AW59" s="78"/>
      <c r="BB59" s="76"/>
      <c r="BC59" s="77"/>
      <c r="BD59" s="77"/>
      <c r="BE59" s="77"/>
      <c r="BF59" s="77"/>
      <c r="BG59" s="77"/>
      <c r="BH59" s="77"/>
      <c r="BI59" s="77"/>
      <c r="BJ59" s="77"/>
      <c r="BK59" s="77"/>
      <c r="BL59" s="77"/>
      <c r="BM59" s="77"/>
      <c r="BN59" s="78"/>
    </row>
    <row r="60" spans="3:66">
      <c r="C60" s="76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8"/>
      <c r="T60" s="76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8"/>
      <c r="AK60" s="76"/>
      <c r="AL60" s="77"/>
      <c r="AM60" s="77"/>
      <c r="AN60" s="77"/>
      <c r="AO60" s="77"/>
      <c r="AP60" s="77"/>
      <c r="AQ60" s="77"/>
      <c r="AR60" s="77"/>
      <c r="AS60" s="77"/>
      <c r="AT60" s="77"/>
      <c r="AU60" s="77"/>
      <c r="AV60" s="77"/>
      <c r="AW60" s="78"/>
      <c r="BB60" s="76"/>
      <c r="BC60" s="77"/>
      <c r="BD60" s="77"/>
      <c r="BE60" s="77"/>
      <c r="BF60" s="77"/>
      <c r="BG60" s="77"/>
      <c r="BH60" s="77"/>
      <c r="BI60" s="77"/>
      <c r="BJ60" s="77"/>
      <c r="BK60" s="77"/>
      <c r="BL60" s="77"/>
      <c r="BM60" s="77"/>
      <c r="BN60" s="78"/>
    </row>
    <row r="61" spans="3:66">
      <c r="C61" s="76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8"/>
      <c r="T61" s="76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8"/>
      <c r="AK61" s="76"/>
      <c r="AL61" s="77"/>
      <c r="AM61" s="77"/>
      <c r="AN61" s="77"/>
      <c r="AO61" s="77"/>
      <c r="AP61" s="77"/>
      <c r="AQ61" s="77"/>
      <c r="AR61" s="77"/>
      <c r="AS61" s="77"/>
      <c r="AT61" s="77"/>
      <c r="AU61" s="77"/>
      <c r="AV61" s="77"/>
      <c r="AW61" s="78"/>
      <c r="BB61" s="76"/>
      <c r="BC61" s="77"/>
      <c r="BD61" s="77"/>
      <c r="BE61" s="77"/>
      <c r="BF61" s="77"/>
      <c r="BG61" s="77"/>
      <c r="BH61" s="77"/>
      <c r="BI61" s="77"/>
      <c r="BJ61" s="77"/>
      <c r="BK61" s="77"/>
      <c r="BL61" s="77"/>
      <c r="BM61" s="77"/>
      <c r="BN61" s="78"/>
    </row>
    <row r="62" spans="3:66">
      <c r="C62" s="76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8"/>
      <c r="T62" s="76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8"/>
      <c r="AK62" s="76"/>
      <c r="AL62" s="77"/>
      <c r="AM62" s="77"/>
      <c r="AN62" s="77"/>
      <c r="AO62" s="77"/>
      <c r="AP62" s="77"/>
      <c r="AQ62" s="77"/>
      <c r="AR62" s="77"/>
      <c r="AS62" s="77"/>
      <c r="AT62" s="77"/>
      <c r="AU62" s="77"/>
      <c r="AV62" s="77"/>
      <c r="AW62" s="78"/>
      <c r="BB62" s="76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8"/>
    </row>
    <row r="63" spans="3:66">
      <c r="C63" s="76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8"/>
      <c r="T63" s="76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8"/>
      <c r="AK63" s="76"/>
      <c r="AL63" s="77"/>
      <c r="AM63" s="77"/>
      <c r="AN63" s="77"/>
      <c r="AO63" s="77"/>
      <c r="AP63" s="77"/>
      <c r="AQ63" s="77"/>
      <c r="AR63" s="77"/>
      <c r="AS63" s="77"/>
      <c r="AT63" s="77"/>
      <c r="AU63" s="77"/>
      <c r="AV63" s="77"/>
      <c r="AW63" s="78"/>
      <c r="BB63" s="76"/>
      <c r="BC63" s="77"/>
      <c r="BD63" s="77"/>
      <c r="BE63" s="77"/>
      <c r="BF63" s="77"/>
      <c r="BG63" s="77"/>
      <c r="BH63" s="77"/>
      <c r="BI63" s="77"/>
      <c r="BJ63" s="77"/>
      <c r="BK63" s="77"/>
      <c r="BL63" s="77"/>
      <c r="BM63" s="77"/>
      <c r="BN63" s="78"/>
    </row>
    <row r="64" spans="3:66">
      <c r="C64" s="76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8"/>
      <c r="T64" s="76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8"/>
      <c r="AK64" s="76"/>
      <c r="AL64" s="77"/>
      <c r="AM64" s="77"/>
      <c r="AN64" s="77"/>
      <c r="AO64" s="77"/>
      <c r="AP64" s="77"/>
      <c r="AQ64" s="77"/>
      <c r="AR64" s="77"/>
      <c r="AS64" s="77"/>
      <c r="AT64" s="77"/>
      <c r="AU64" s="77"/>
      <c r="AV64" s="77"/>
      <c r="AW64" s="78"/>
      <c r="BB64" s="76"/>
      <c r="BC64" s="77"/>
      <c r="BD64" s="77"/>
      <c r="BE64" s="77"/>
      <c r="BF64" s="77"/>
      <c r="BG64" s="77"/>
      <c r="BH64" s="77"/>
      <c r="BI64" s="77"/>
      <c r="BJ64" s="77"/>
      <c r="BK64" s="77"/>
      <c r="BL64" s="77"/>
      <c r="BM64" s="77"/>
      <c r="BN64" s="78"/>
    </row>
    <row r="65" spans="3:66">
      <c r="C65" s="76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8"/>
      <c r="T65" s="76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8"/>
      <c r="AK65" s="76"/>
      <c r="AL65" s="77"/>
      <c r="AM65" s="77"/>
      <c r="AN65" s="77"/>
      <c r="AO65" s="77"/>
      <c r="AP65" s="77"/>
      <c r="AQ65" s="77"/>
      <c r="AR65" s="77"/>
      <c r="AS65" s="77"/>
      <c r="AT65" s="77"/>
      <c r="AU65" s="77"/>
      <c r="AV65" s="77"/>
      <c r="AW65" s="78"/>
      <c r="BB65" s="76"/>
      <c r="BC65" s="77"/>
      <c r="BD65" s="77"/>
      <c r="BE65" s="77"/>
      <c r="BF65" s="77"/>
      <c r="BG65" s="77"/>
      <c r="BH65" s="77"/>
      <c r="BI65" s="77"/>
      <c r="BJ65" s="77"/>
      <c r="BK65" s="77"/>
      <c r="BL65" s="77"/>
      <c r="BM65" s="77"/>
      <c r="BN65" s="78"/>
    </row>
    <row r="66" spans="3:66">
      <c r="C66" s="76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8"/>
      <c r="T66" s="76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8"/>
      <c r="AK66" s="76"/>
      <c r="AL66" s="77"/>
      <c r="AM66" s="77"/>
      <c r="AN66" s="77"/>
      <c r="AO66" s="77"/>
      <c r="AP66" s="77"/>
      <c r="AQ66" s="77"/>
      <c r="AR66" s="77"/>
      <c r="AS66" s="77"/>
      <c r="AT66" s="77"/>
      <c r="AU66" s="77"/>
      <c r="AV66" s="77"/>
      <c r="AW66" s="78"/>
      <c r="BB66" s="76"/>
      <c r="BC66" s="77"/>
      <c r="BD66" s="77"/>
      <c r="BE66" s="77"/>
      <c r="BF66" s="77"/>
      <c r="BG66" s="77"/>
      <c r="BH66" s="77"/>
      <c r="BI66" s="77"/>
      <c r="BJ66" s="77"/>
      <c r="BK66" s="77"/>
      <c r="BL66" s="77"/>
      <c r="BM66" s="77"/>
      <c r="BN66" s="78"/>
    </row>
    <row r="67" spans="3:66">
      <c r="C67" s="76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8"/>
      <c r="T67" s="76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8"/>
      <c r="AK67" s="76"/>
      <c r="AL67" s="77"/>
      <c r="AM67" s="77"/>
      <c r="AN67" s="77"/>
      <c r="AO67" s="77"/>
      <c r="AP67" s="77"/>
      <c r="AQ67" s="77"/>
      <c r="AR67" s="77"/>
      <c r="AS67" s="77"/>
      <c r="AT67" s="77"/>
      <c r="AU67" s="77"/>
      <c r="AV67" s="77"/>
      <c r="AW67" s="78"/>
      <c r="BB67" s="76"/>
      <c r="BC67" s="77"/>
      <c r="BD67" s="77"/>
      <c r="BE67" s="77"/>
      <c r="BF67" s="77"/>
      <c r="BG67" s="77"/>
      <c r="BH67" s="77"/>
      <c r="BI67" s="77"/>
      <c r="BJ67" s="77"/>
      <c r="BK67" s="77"/>
      <c r="BL67" s="77"/>
      <c r="BM67" s="77"/>
      <c r="BN67" s="78"/>
    </row>
    <row r="68" spans="3:66">
      <c r="C68" s="76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8"/>
      <c r="T68" s="76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8"/>
      <c r="AK68" s="76"/>
      <c r="AL68" s="77"/>
      <c r="AM68" s="77"/>
      <c r="AN68" s="77"/>
      <c r="AO68" s="77"/>
      <c r="AP68" s="77"/>
      <c r="AQ68" s="77"/>
      <c r="AR68" s="77"/>
      <c r="AS68" s="77"/>
      <c r="AT68" s="77"/>
      <c r="AU68" s="77"/>
      <c r="AV68" s="77"/>
      <c r="AW68" s="78"/>
      <c r="BB68" s="76"/>
      <c r="BC68" s="77"/>
      <c r="BD68" s="77"/>
      <c r="BE68" s="77"/>
      <c r="BF68" s="77"/>
      <c r="BG68" s="77"/>
      <c r="BH68" s="77"/>
      <c r="BI68" s="77"/>
      <c r="BJ68" s="77"/>
      <c r="BK68" s="77"/>
      <c r="BL68" s="77"/>
      <c r="BM68" s="77"/>
      <c r="BN68" s="78"/>
    </row>
    <row r="69" spans="3:66">
      <c r="C69" s="76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8"/>
      <c r="T69" s="76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8"/>
      <c r="AK69" s="76"/>
      <c r="AL69" s="77"/>
      <c r="AM69" s="77"/>
      <c r="AN69" s="77"/>
      <c r="AO69" s="77"/>
      <c r="AP69" s="77"/>
      <c r="AQ69" s="77"/>
      <c r="AR69" s="77"/>
      <c r="AS69" s="77"/>
      <c r="AT69" s="77"/>
      <c r="AU69" s="77"/>
      <c r="AV69" s="77"/>
      <c r="AW69" s="78"/>
      <c r="BB69" s="76"/>
      <c r="BC69" s="77"/>
      <c r="BD69" s="77"/>
      <c r="BE69" s="77"/>
      <c r="BF69" s="77"/>
      <c r="BG69" s="77"/>
      <c r="BH69" s="77"/>
      <c r="BI69" s="77"/>
      <c r="BJ69" s="77"/>
      <c r="BK69" s="77"/>
      <c r="BL69" s="77"/>
      <c r="BM69" s="77"/>
      <c r="BN69" s="78"/>
    </row>
    <row r="70" spans="3:66">
      <c r="C70" s="76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8"/>
      <c r="T70" s="76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8"/>
      <c r="AK70" s="76"/>
      <c r="AL70" s="77"/>
      <c r="AM70" s="77"/>
      <c r="AN70" s="77"/>
      <c r="AO70" s="77"/>
      <c r="AP70" s="77"/>
      <c r="AQ70" s="77"/>
      <c r="AR70" s="77"/>
      <c r="AS70" s="77"/>
      <c r="AT70" s="77"/>
      <c r="AU70" s="77"/>
      <c r="AV70" s="77"/>
      <c r="AW70" s="78"/>
      <c r="BB70" s="76"/>
      <c r="BC70" s="77"/>
      <c r="BD70" s="77"/>
      <c r="BE70" s="77"/>
      <c r="BF70" s="77"/>
      <c r="BG70" s="77"/>
      <c r="BH70" s="77"/>
      <c r="BI70" s="77"/>
      <c r="BJ70" s="77"/>
      <c r="BK70" s="77"/>
      <c r="BL70" s="77"/>
      <c r="BM70" s="77"/>
      <c r="BN70" s="78"/>
    </row>
    <row r="71" spans="3:66">
      <c r="C71" s="76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8"/>
      <c r="T71" s="76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8"/>
      <c r="AK71" s="76"/>
      <c r="AL71" s="77"/>
      <c r="AM71" s="77"/>
      <c r="AN71" s="77"/>
      <c r="AO71" s="77"/>
      <c r="AP71" s="77"/>
      <c r="AQ71" s="77"/>
      <c r="AR71" s="77"/>
      <c r="AS71" s="77"/>
      <c r="AT71" s="77"/>
      <c r="AU71" s="77"/>
      <c r="AV71" s="77"/>
      <c r="AW71" s="78"/>
      <c r="BB71" s="76"/>
      <c r="BC71" s="77"/>
      <c r="BD71" s="77"/>
      <c r="BE71" s="77"/>
      <c r="BF71" s="77"/>
      <c r="BG71" s="77"/>
      <c r="BH71" s="77"/>
      <c r="BI71" s="77"/>
      <c r="BJ71" s="77"/>
      <c r="BK71" s="77"/>
      <c r="BL71" s="77"/>
      <c r="BM71" s="77"/>
      <c r="BN71" s="78"/>
    </row>
    <row r="72" spans="3:66">
      <c r="C72" s="76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8"/>
      <c r="T72" s="76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8"/>
      <c r="AK72" s="76"/>
      <c r="AL72" s="77"/>
      <c r="AM72" s="77"/>
      <c r="AN72" s="77"/>
      <c r="AO72" s="77"/>
      <c r="AP72" s="77"/>
      <c r="AQ72" s="77"/>
      <c r="AR72" s="77"/>
      <c r="AS72" s="77"/>
      <c r="AT72" s="77"/>
      <c r="AU72" s="77"/>
      <c r="AV72" s="77"/>
      <c r="AW72" s="78"/>
      <c r="BB72" s="76"/>
      <c r="BC72" s="77"/>
      <c r="BD72" s="77"/>
      <c r="BE72" s="77"/>
      <c r="BF72" s="77"/>
      <c r="BG72" s="77"/>
      <c r="BH72" s="77"/>
      <c r="BI72" s="77"/>
      <c r="BJ72" s="77"/>
      <c r="BK72" s="77"/>
      <c r="BL72" s="77"/>
      <c r="BM72" s="77"/>
      <c r="BN72" s="78"/>
    </row>
    <row r="73" spans="3:66">
      <c r="C73" s="76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8"/>
      <c r="T73" s="76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8"/>
      <c r="AK73" s="76"/>
      <c r="AL73" s="77"/>
      <c r="AM73" s="77"/>
      <c r="AN73" s="77"/>
      <c r="AO73" s="77"/>
      <c r="AP73" s="77"/>
      <c r="AQ73" s="77"/>
      <c r="AR73" s="77"/>
      <c r="AS73" s="77"/>
      <c r="AT73" s="77"/>
      <c r="AU73" s="77"/>
      <c r="AV73" s="77"/>
      <c r="AW73" s="78"/>
      <c r="BB73" s="76"/>
      <c r="BC73" s="77"/>
      <c r="BD73" s="77"/>
      <c r="BE73" s="77"/>
      <c r="BF73" s="77"/>
      <c r="BG73" s="77"/>
      <c r="BH73" s="77"/>
      <c r="BI73" s="77"/>
      <c r="BJ73" s="77"/>
      <c r="BK73" s="77"/>
      <c r="BL73" s="77"/>
      <c r="BM73" s="77"/>
      <c r="BN73" s="78"/>
    </row>
    <row r="74" spans="3:66">
      <c r="C74" s="76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8"/>
      <c r="T74" s="76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8"/>
      <c r="AK74" s="76"/>
      <c r="AL74" s="77"/>
      <c r="AM74" s="77"/>
      <c r="AN74" s="77"/>
      <c r="AO74" s="77"/>
      <c r="AP74" s="77"/>
      <c r="AQ74" s="77"/>
      <c r="AR74" s="77"/>
      <c r="AS74" s="77"/>
      <c r="AT74" s="77"/>
      <c r="AU74" s="77"/>
      <c r="AV74" s="77"/>
      <c r="AW74" s="78"/>
      <c r="BB74" s="76"/>
      <c r="BC74" s="77"/>
      <c r="BD74" s="77"/>
      <c r="BE74" s="77"/>
      <c r="BF74" s="77"/>
      <c r="BG74" s="77"/>
      <c r="BH74" s="77"/>
      <c r="BI74" s="77"/>
      <c r="BJ74" s="77"/>
      <c r="BK74" s="77"/>
      <c r="BL74" s="77"/>
      <c r="BM74" s="77"/>
      <c r="BN74" s="78"/>
    </row>
    <row r="75" spans="3:66">
      <c r="C75" s="76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8"/>
      <c r="T75" s="76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8"/>
      <c r="AK75" s="76"/>
      <c r="AL75" s="77"/>
      <c r="AM75" s="77"/>
      <c r="AN75" s="77"/>
      <c r="AO75" s="77"/>
      <c r="AP75" s="77"/>
      <c r="AQ75" s="77"/>
      <c r="AR75" s="77"/>
      <c r="AS75" s="77"/>
      <c r="AT75" s="77"/>
      <c r="AU75" s="77"/>
      <c r="AV75" s="77"/>
      <c r="AW75" s="78"/>
      <c r="BB75" s="76"/>
      <c r="BC75" s="77"/>
      <c r="BD75" s="77"/>
      <c r="BE75" s="77"/>
      <c r="BF75" s="77"/>
      <c r="BG75" s="77"/>
      <c r="BH75" s="77"/>
      <c r="BI75" s="77"/>
      <c r="BJ75" s="77"/>
      <c r="BK75" s="77"/>
      <c r="BL75" s="77"/>
      <c r="BM75" s="77"/>
      <c r="BN75" s="78"/>
    </row>
    <row r="76" spans="3:66">
      <c r="C76" s="76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8"/>
      <c r="T76" s="76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8"/>
      <c r="AK76" s="76"/>
      <c r="AL76" s="77"/>
      <c r="AM76" s="77"/>
      <c r="AN76" s="77"/>
      <c r="AO76" s="77"/>
      <c r="AP76" s="77"/>
      <c r="AQ76" s="77"/>
      <c r="AR76" s="77"/>
      <c r="AS76" s="77"/>
      <c r="AT76" s="77"/>
      <c r="AU76" s="77"/>
      <c r="AV76" s="77"/>
      <c r="AW76" s="78"/>
      <c r="BB76" s="76"/>
      <c r="BC76" s="77"/>
      <c r="BD76" s="77"/>
      <c r="BE76" s="77"/>
      <c r="BF76" s="77"/>
      <c r="BG76" s="77"/>
      <c r="BH76" s="77"/>
      <c r="BI76" s="77"/>
      <c r="BJ76" s="77"/>
      <c r="BK76" s="77"/>
      <c r="BL76" s="77"/>
      <c r="BM76" s="77"/>
      <c r="BN76" s="78"/>
    </row>
    <row r="77" spans="3:66">
      <c r="C77" s="79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1"/>
      <c r="T77" s="79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1"/>
      <c r="AK77" s="79"/>
      <c r="AL77" s="80"/>
      <c r="AM77" s="80"/>
      <c r="AN77" s="80"/>
      <c r="AO77" s="80"/>
      <c r="AP77" s="80"/>
      <c r="AQ77" s="80"/>
      <c r="AR77" s="80"/>
      <c r="AS77" s="80"/>
      <c r="AT77" s="80"/>
      <c r="AU77" s="80"/>
      <c r="AV77" s="80"/>
      <c r="AW77" s="81"/>
      <c r="BB77" s="79"/>
      <c r="BC77" s="80"/>
      <c r="BD77" s="80"/>
      <c r="BE77" s="80"/>
      <c r="BF77" s="80"/>
      <c r="BG77" s="80"/>
      <c r="BH77" s="80"/>
      <c r="BI77" s="80"/>
      <c r="BJ77" s="80"/>
      <c r="BK77" s="80"/>
      <c r="BL77" s="80"/>
      <c r="BM77" s="80"/>
      <c r="BN77" s="81"/>
    </row>
  </sheetData>
  <mergeCells count="33">
    <mergeCell ref="AK36:AW55"/>
    <mergeCell ref="BB36:BN55"/>
    <mergeCell ref="AK58:AW77"/>
    <mergeCell ref="BB58:BN77"/>
    <mergeCell ref="BJ10:BL13"/>
    <mergeCell ref="BM10:BO13"/>
    <mergeCell ref="AK14:AW33"/>
    <mergeCell ref="BB14:BN33"/>
    <mergeCell ref="AP10:AR13"/>
    <mergeCell ref="AS10:AU13"/>
    <mergeCell ref="AV10:AX13"/>
    <mergeCell ref="BA10:BC13"/>
    <mergeCell ref="BD10:BF13"/>
    <mergeCell ref="BG10:BI13"/>
    <mergeCell ref="AM10:AO13"/>
    <mergeCell ref="C14:O33"/>
    <mergeCell ref="C36:O55"/>
    <mergeCell ref="C58:O77"/>
    <mergeCell ref="T14:AF33"/>
    <mergeCell ref="T36:AF55"/>
    <mergeCell ref="T58:AF77"/>
    <mergeCell ref="V10:X13"/>
    <mergeCell ref="Y10:AA13"/>
    <mergeCell ref="AB10:AD13"/>
    <mergeCell ref="AE10:AG13"/>
    <mergeCell ref="AJ10:AL13"/>
    <mergeCell ref="S10:U13"/>
    <mergeCell ref="B2:R7"/>
    <mergeCell ref="B10:D13"/>
    <mergeCell ref="E10:G13"/>
    <mergeCell ref="H10:J13"/>
    <mergeCell ref="K10:M13"/>
    <mergeCell ref="N10:P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Md Modassir</cp:lastModifiedBy>
  <cp:revision/>
  <dcterms:created xsi:type="dcterms:W3CDTF">2026-08-02T16:59:29Z</dcterms:created>
  <dcterms:modified xsi:type="dcterms:W3CDTF">2026-08-14T18:10:13Z</dcterms:modified>
  <cp:category/>
  <cp:contentStatus/>
</cp:coreProperties>
</file>