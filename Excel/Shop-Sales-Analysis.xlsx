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 defaultThemeVersion="166925"/>
  <xr:revisionPtr revIDLastSave="1748" documentId="11_E60897F41BE170836B02CE998F75CCDC64E183C8" xr6:coauthVersionLast="47" xr6:coauthVersionMax="47" xr10:uidLastSave="{46B7C5A4-03C3-4C54-8501-2942E8B77016}"/>
  <bookViews>
    <workbookView xWindow="240" yWindow="105" windowWidth="14805" windowHeight="8010" firstSheet="1" activeTab="4" xr2:uid="{00000000-000D-0000-FFFF-FFFF00000000}"/>
  </bookViews>
  <sheets>
    <sheet name="Cover_Page" sheetId="2" r:id="rId1"/>
    <sheet name="Raw_Data" sheetId="5" r:id="rId2"/>
    <sheet name="Pivot_Analysis - Week - 1" sheetId="7" state="hidden" r:id="rId3"/>
    <sheet name="Pivot_Analysis - Week -  2" sheetId="8" r:id="rId4"/>
    <sheet name="Dashboard" sheetId="4" r:id="rId5"/>
  </sheets>
  <calcPr calcId="191028"/>
  <pivotCaches>
    <pivotCache cacheId="177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118" i="5" l="1"/>
  <c r="H118" i="5"/>
  <c r="I118" i="5"/>
  <c r="G117" i="5"/>
  <c r="H117" i="5"/>
  <c r="I117" i="5"/>
  <c r="G116" i="5"/>
  <c r="H116" i="5"/>
  <c r="I116" i="5"/>
  <c r="G115" i="5"/>
  <c r="H115" i="5"/>
  <c r="I115" i="5"/>
  <c r="G114" i="5"/>
  <c r="H114" i="5"/>
  <c r="I114" i="5"/>
  <c r="G113" i="5"/>
  <c r="H113" i="5"/>
  <c r="I113" i="5"/>
  <c r="G112" i="5"/>
  <c r="H112" i="5"/>
  <c r="I112" i="5"/>
  <c r="G111" i="5"/>
  <c r="H111" i="5"/>
  <c r="I111" i="5"/>
  <c r="G110" i="5"/>
  <c r="H110" i="5"/>
  <c r="I110" i="5"/>
  <c r="G109" i="5"/>
  <c r="H109" i="5"/>
  <c r="I109" i="5"/>
  <c r="G108" i="5"/>
  <c r="H108" i="5"/>
  <c r="I108" i="5"/>
  <c r="G107" i="5"/>
  <c r="H107" i="5"/>
  <c r="I107" i="5"/>
  <c r="G106" i="5"/>
  <c r="H106" i="5"/>
  <c r="I106" i="5"/>
  <c r="G105" i="5"/>
  <c r="H105" i="5"/>
  <c r="I105" i="5"/>
  <c r="H104" i="5"/>
  <c r="G104" i="5"/>
  <c r="I104" i="5"/>
  <c r="G103" i="5"/>
  <c r="H103" i="5"/>
  <c r="I103" i="5"/>
  <c r="G102" i="5"/>
  <c r="H102" i="5"/>
  <c r="I102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G60" i="5"/>
  <c r="H60" i="5"/>
  <c r="I60" i="5"/>
  <c r="G59" i="5"/>
  <c r="H59" i="5"/>
  <c r="I59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G57" i="5"/>
  <c r="G58" i="5"/>
  <c r="H57" i="5"/>
  <c r="H58" i="5"/>
  <c r="H3" i="5"/>
  <c r="H56" i="5"/>
  <c r="G56" i="5"/>
  <c r="H55" i="5"/>
  <c r="G55" i="5"/>
  <c r="H54" i="5"/>
  <c r="G54" i="5"/>
  <c r="H53" i="5"/>
  <c r="G53" i="5"/>
  <c r="H52" i="5"/>
  <c r="G52" i="5"/>
  <c r="H51" i="5"/>
  <c r="G51" i="5"/>
  <c r="H50" i="5"/>
  <c r="G50" i="5"/>
  <c r="H49" i="5"/>
  <c r="G49" i="5"/>
  <c r="H48" i="5"/>
  <c r="G48" i="5"/>
  <c r="H47" i="5"/>
  <c r="G47" i="5"/>
  <c r="H46" i="5"/>
  <c r="G46" i="5"/>
  <c r="H45" i="5"/>
  <c r="G45" i="5"/>
  <c r="H44" i="5"/>
  <c r="G44" i="5"/>
  <c r="H43" i="5"/>
  <c r="G43" i="5"/>
  <c r="H42" i="5"/>
  <c r="G42" i="5"/>
  <c r="H41" i="5"/>
  <c r="G41" i="5"/>
  <c r="H40" i="5"/>
  <c r="G40" i="5"/>
  <c r="H39" i="5"/>
  <c r="G39" i="5"/>
  <c r="H38" i="5"/>
  <c r="G38" i="5"/>
  <c r="H37" i="5"/>
  <c r="G37" i="5"/>
  <c r="H36" i="5"/>
  <c r="G36" i="5"/>
  <c r="H35" i="5"/>
  <c r="G35" i="5"/>
  <c r="H34" i="5"/>
  <c r="G34" i="5"/>
  <c r="H33" i="5"/>
  <c r="G33" i="5"/>
  <c r="H32" i="5"/>
  <c r="G32" i="5"/>
  <c r="H31" i="5"/>
  <c r="G31" i="5"/>
  <c r="H30" i="5"/>
  <c r="G30" i="5"/>
  <c r="H29" i="5"/>
  <c r="G29" i="5"/>
  <c r="H28" i="5"/>
  <c r="G28" i="5"/>
  <c r="H27" i="5"/>
  <c r="G27" i="5"/>
  <c r="H26" i="5"/>
  <c r="G26" i="5"/>
  <c r="H25" i="5"/>
  <c r="G25" i="5"/>
  <c r="H24" i="5"/>
  <c r="G24" i="5"/>
  <c r="H23" i="5"/>
  <c r="G23" i="5"/>
  <c r="H22" i="5"/>
  <c r="G22" i="5"/>
  <c r="H21" i="5"/>
  <c r="G21" i="5"/>
  <c r="H20" i="5"/>
  <c r="G20" i="5"/>
  <c r="H19" i="5"/>
  <c r="G19" i="5"/>
  <c r="H18" i="5"/>
  <c r="G18" i="5"/>
  <c r="H17" i="5"/>
  <c r="G17" i="5"/>
  <c r="H16" i="5"/>
  <c r="G16" i="5"/>
  <c r="H15" i="5"/>
  <c r="G15" i="5"/>
  <c r="H14" i="5"/>
  <c r="G14" i="5"/>
  <c r="H13" i="5"/>
  <c r="G13" i="5"/>
  <c r="H12" i="5"/>
  <c r="G12" i="5"/>
  <c r="H11" i="5"/>
  <c r="G11" i="5"/>
  <c r="H10" i="5"/>
  <c r="G10" i="5"/>
  <c r="H9" i="5"/>
  <c r="G9" i="5"/>
  <c r="H8" i="5"/>
  <c r="G8" i="5"/>
  <c r="H7" i="5"/>
  <c r="G7" i="5"/>
  <c r="H6" i="5"/>
  <c r="G6" i="5"/>
  <c r="H5" i="5"/>
  <c r="G5" i="5"/>
  <c r="H4" i="5"/>
  <c r="G4" i="5"/>
  <c r="G3" i="5"/>
</calcChain>
</file>

<file path=xl/sharedStrings.xml><?xml version="1.0" encoding="utf-8"?>
<sst xmlns="http://schemas.openxmlformats.org/spreadsheetml/2006/main" count="383" uniqueCount="125">
  <si>
    <r>
      <rPr>
        <b/>
        <sz val="19"/>
        <color theme="0"/>
        <rFont val="Calibri"/>
        <scheme val="minor"/>
      </rPr>
      <t xml:space="preserve">SHOP SALES ANALYSIS REPORT
</t>
    </r>
    <r>
      <rPr>
        <b/>
        <sz val="18"/>
        <color theme="0"/>
        <rFont val="Calibri"/>
        <scheme val="minor"/>
      </rPr>
      <t>Weekly Sales &amp; Profit Performance</t>
    </r>
  </si>
  <si>
    <r>
      <rPr>
        <b/>
        <sz val="13"/>
        <color rgb="FF1F4E78"/>
        <rFont val="Calibri"/>
        <scheme val="minor"/>
      </rPr>
      <t xml:space="preserve">Prepared By :
</t>
    </r>
    <r>
      <rPr>
        <sz val="13"/>
        <color rgb="FF000000"/>
        <rFont val="Calibri"/>
        <scheme val="minor"/>
      </rPr>
      <t xml:space="preserve">Md Modassir
</t>
    </r>
    <r>
      <rPr>
        <sz val="13"/>
        <color rgb="FF1F4E78"/>
        <rFont val="Calibri"/>
        <scheme val="minor"/>
      </rPr>
      <t xml:space="preserve">
</t>
    </r>
    <r>
      <rPr>
        <b/>
        <sz val="13"/>
        <color rgb="FF1F4E78"/>
        <rFont val="Calibri"/>
        <scheme val="minor"/>
      </rPr>
      <t xml:space="preserve">Tools : 
</t>
    </r>
    <r>
      <rPr>
        <sz val="13"/>
        <color rgb="FF000000"/>
        <rFont val="Calibri"/>
        <scheme val="minor"/>
      </rPr>
      <t xml:space="preserve">Microsoft Excel
</t>
    </r>
    <r>
      <rPr>
        <b/>
        <sz val="13"/>
        <color rgb="FF1F4E78"/>
        <rFont val="Calibri"/>
        <scheme val="minor"/>
      </rPr>
      <t xml:space="preserve">
Objective : 
</t>
    </r>
    <r>
      <rPr>
        <sz val="13"/>
        <color rgb="FF000000"/>
        <rFont val="Calibri"/>
        <scheme val="minor"/>
      </rPr>
      <t xml:space="preserve">Analyze weekly sales and profit trends.
Idetify top-performing products.
Evaluate overall weekly business performance.
</t>
    </r>
    <r>
      <rPr>
        <b/>
        <sz val="13"/>
        <color rgb="FF1F4E78"/>
        <rFont val="Calibri"/>
        <scheme val="minor"/>
      </rPr>
      <t xml:space="preserve">
Data Source : 
</t>
    </r>
    <r>
      <rPr>
        <sz val="13"/>
        <color rgb="FF000000"/>
        <rFont val="Calibri"/>
        <scheme val="minor"/>
      </rPr>
      <t>Real Shop Sales Record.</t>
    </r>
  </si>
  <si>
    <t>WEEK 1: 03 Aug 2026 - 09 Aug 2026</t>
  </si>
  <si>
    <t>WEEK 2: 10 Aug 2026 - 16 Aug 2026</t>
  </si>
  <si>
    <t>WEEK 3: 17 Aug 2026 - 23 Aug 2026</t>
  </si>
  <si>
    <t>WEEK 4: 24 Aug 2026 - 30 Aug 2026</t>
  </si>
  <si>
    <r>
      <rPr>
        <b/>
        <sz val="12"/>
        <color rgb="FF1F4E78"/>
        <rFont val="Calibri"/>
        <scheme val="minor"/>
      </rPr>
      <t xml:space="preserve">Total Profit: </t>
    </r>
    <r>
      <rPr>
        <b/>
        <sz val="12"/>
        <color rgb="FF000000"/>
        <rFont val="Calibri"/>
        <scheme val="minor"/>
      </rPr>
      <t xml:space="preserve">₹ 3640.40
</t>
    </r>
    <r>
      <rPr>
        <b/>
        <sz val="12"/>
        <color rgb="FF1F4E78"/>
        <rFont val="Calibri"/>
        <scheme val="minor"/>
      </rPr>
      <t xml:space="preserve">
Best Day: </t>
    </r>
    <r>
      <rPr>
        <b/>
        <sz val="12"/>
        <color rgb="FF000000"/>
        <rFont val="Calibri"/>
        <scheme val="minor"/>
      </rPr>
      <t xml:space="preserve">04 Aug 2026 ( Tuesday )
</t>
    </r>
    <r>
      <rPr>
        <b/>
        <sz val="12"/>
        <color rgb="FF1F4E78"/>
        <rFont val="Calibri"/>
        <scheme val="minor"/>
      </rPr>
      <t xml:space="preserve">
Top Product: </t>
    </r>
    <r>
      <rPr>
        <b/>
        <sz val="12"/>
        <color rgb="FF000000"/>
        <rFont val="Calibri"/>
        <scheme val="minor"/>
      </rPr>
      <t>Handpump</t>
    </r>
  </si>
  <si>
    <r>
      <rPr>
        <b/>
        <sz val="12"/>
        <color rgb="FF1F4E78"/>
        <rFont val="Calibri"/>
        <scheme val="minor"/>
      </rPr>
      <t xml:space="preserve">Total Profit: </t>
    </r>
    <r>
      <rPr>
        <b/>
        <sz val="12"/>
        <color rgb="FF000000"/>
        <rFont val="Calibri"/>
        <scheme val="minor"/>
      </rPr>
      <t xml:space="preserve">₹ 3083.40
</t>
    </r>
    <r>
      <rPr>
        <b/>
        <sz val="12"/>
        <color rgb="FF1F4E78"/>
        <rFont val="Calibri"/>
        <scheme val="minor"/>
      </rPr>
      <t xml:space="preserve">
Best Day: </t>
    </r>
    <r>
      <rPr>
        <b/>
        <sz val="12"/>
        <color rgb="FF000000"/>
        <rFont val="Calibri"/>
        <scheme val="minor"/>
      </rPr>
      <t xml:space="preserve">12 Aug 2026 ( Wednesday )
</t>
    </r>
    <r>
      <rPr>
        <b/>
        <sz val="12"/>
        <color rgb="FF1F4E78"/>
        <rFont val="Calibri"/>
        <scheme val="minor"/>
      </rPr>
      <t xml:space="preserve">
Top Product: </t>
    </r>
    <r>
      <rPr>
        <b/>
        <sz val="12"/>
        <color rgb="FF000000"/>
        <rFont val="Calibri"/>
        <scheme val="minor"/>
      </rPr>
      <t>3/4" Cancilled</t>
    </r>
  </si>
  <si>
    <t>Total Profit:
Best Day:
Top Product</t>
  </si>
  <si>
    <t>WEEK 5: 31 Aug 2026 - 06 Sep 2026</t>
  </si>
  <si>
    <t>WEEK 6: 07 Sep 2026 - 13 Sep 2026</t>
  </si>
  <si>
    <t>WEEK 7: 13 Sep 2026 - 19 Sep 2026</t>
  </si>
  <si>
    <t>WEEK 8: 20 Sep 2026 - 26 Sep 2026</t>
  </si>
  <si>
    <t>Date</t>
  </si>
  <si>
    <t>Product</t>
  </si>
  <si>
    <t>Quantity</t>
  </si>
  <si>
    <t>Sell_Price</t>
  </si>
  <si>
    <t>Cost_Price</t>
  </si>
  <si>
    <t>Profit</t>
  </si>
  <si>
    <t>Day</t>
  </si>
  <si>
    <t>Week</t>
  </si>
  <si>
    <t>1" Pipe</t>
  </si>
  <si>
    <t>Loose Pipe</t>
  </si>
  <si>
    <t>1" Ball Valve</t>
  </si>
  <si>
    <t>Handpump</t>
  </si>
  <si>
    <t>Solvent 10ml</t>
  </si>
  <si>
    <t>Aree Blade</t>
  </si>
  <si>
    <t>Shower</t>
  </si>
  <si>
    <t>Tap</t>
  </si>
  <si>
    <t>3" Bocket</t>
  </si>
  <si>
    <t>4" Pipe</t>
  </si>
  <si>
    <t>4" Coupler</t>
  </si>
  <si>
    <t>4" Band</t>
  </si>
  <si>
    <t>4" Tee</t>
  </si>
  <si>
    <t>Solvent PVC</t>
  </si>
  <si>
    <t>M-Seal</t>
  </si>
  <si>
    <t>Tank Cover</t>
  </si>
  <si>
    <t>3" Pipe</t>
  </si>
  <si>
    <t>3" Coupler</t>
  </si>
  <si>
    <t>3" Band</t>
  </si>
  <si>
    <t>3" Tee</t>
  </si>
  <si>
    <t>3" Hook</t>
  </si>
  <si>
    <t>3" End Cap</t>
  </si>
  <si>
    <t>Angle Cock</t>
  </si>
  <si>
    <t>Connection Pipe</t>
  </si>
  <si>
    <t>Stand Besin</t>
  </si>
  <si>
    <t>Waste Pipe</t>
  </si>
  <si>
    <t>1/2"x12" Nepul</t>
  </si>
  <si>
    <t>White Cement</t>
  </si>
  <si>
    <t>1" Elbow</t>
  </si>
  <si>
    <t>1" Coupler</t>
  </si>
  <si>
    <t>Solvent</t>
  </si>
  <si>
    <t>PVC Hook</t>
  </si>
  <si>
    <t>Flusher</t>
  </si>
  <si>
    <t>Fan Hook</t>
  </si>
  <si>
    <t>4" Blade</t>
  </si>
  <si>
    <t>Long Tap</t>
  </si>
  <si>
    <t>1/2" Pipe</t>
  </si>
  <si>
    <t>5" Syphan</t>
  </si>
  <si>
    <t>1"x4" Nepul</t>
  </si>
  <si>
    <t>1½"x3/4" Rodiser</t>
  </si>
  <si>
    <t>1½"x6" Nepul</t>
  </si>
  <si>
    <t>3/4" Checkvalve</t>
  </si>
  <si>
    <t>3/4"x3" Nepul</t>
  </si>
  <si>
    <t>Suta</t>
  </si>
  <si>
    <t>Plumber Masala</t>
  </si>
  <si>
    <t>1/2" Check Valve</t>
  </si>
  <si>
    <t>1/2" B MTA</t>
  </si>
  <si>
    <t>Solvent 20ml</t>
  </si>
  <si>
    <t>Pump Handle</t>
  </si>
  <si>
    <t>Nut Bolt</t>
  </si>
  <si>
    <t>PVC Solvent</t>
  </si>
  <si>
    <t>3/4" Pipe</t>
  </si>
  <si>
    <t>3/4" Elbow</t>
  </si>
  <si>
    <t>3/4" Union</t>
  </si>
  <si>
    <t>Solvent 100ml</t>
  </si>
  <si>
    <t>3/4" PVC Hook</t>
  </si>
  <si>
    <t>Steel Tap</t>
  </si>
  <si>
    <t>Hand Shower</t>
  </si>
  <si>
    <t>3/4" Cancilled</t>
  </si>
  <si>
    <t>Teplon</t>
  </si>
  <si>
    <t>1/2" Plug</t>
  </si>
  <si>
    <t>1/2" Connection Pipe</t>
  </si>
  <si>
    <t>Steel Angle Cock</t>
  </si>
  <si>
    <t>3/4"x1/2" B Elbow</t>
  </si>
  <si>
    <t>1"x3/4" Buss</t>
  </si>
  <si>
    <t>1" MTA</t>
  </si>
  <si>
    <t>1" Union</t>
  </si>
  <si>
    <t>3/4" Ball Valve</t>
  </si>
  <si>
    <t>3" Y Tee</t>
  </si>
  <si>
    <t>3" Half Band</t>
  </si>
  <si>
    <t>3" Jali</t>
  </si>
  <si>
    <t>5" Blade</t>
  </si>
  <si>
    <t>Seat</t>
  </si>
  <si>
    <t>5"x4" Syphan</t>
  </si>
  <si>
    <t>Sypahn Baser</t>
  </si>
  <si>
    <t>Solvent 50ml</t>
  </si>
  <si>
    <t>3" Gold Plenjer</t>
  </si>
  <si>
    <t>1" Tee</t>
  </si>
  <si>
    <t>1" Loose Pipe</t>
  </si>
  <si>
    <t>Jointer</t>
  </si>
  <si>
    <t>1" Clip</t>
  </si>
  <si>
    <t>Week 1</t>
  </si>
  <si>
    <t>Daily Profit</t>
  </si>
  <si>
    <t>Total Profit</t>
  </si>
  <si>
    <t>Units Sold</t>
  </si>
  <si>
    <t>Grand Total</t>
  </si>
  <si>
    <t>Week 2</t>
  </si>
  <si>
    <r>
      <rPr>
        <b/>
        <sz val="32"/>
        <color rgb="FF000000"/>
        <rFont val="Calibri"/>
        <scheme val="minor"/>
      </rPr>
      <t xml:space="preserve">SHOP SALES PERFORMANCE DASHBOARD
</t>
    </r>
    <r>
      <rPr>
        <b/>
        <sz val="28"/>
        <color rgb="FF000000"/>
        <rFont val="Calibri"/>
        <scheme val="minor"/>
      </rPr>
      <t>Weekly Sales, Profit and Product Analysis</t>
    </r>
  </si>
  <si>
    <t>Week 1 
03 Aug - 09 Aug</t>
  </si>
  <si>
    <t>Total Profit
₹ 3640.40</t>
  </si>
  <si>
    <t>Top Product (Profit)
Handpump</t>
  </si>
  <si>
    <t>Avg. Profit
₹ 520.06</t>
  </si>
  <si>
    <t>Best Day
04-08-2026</t>
  </si>
  <si>
    <t>Week 2
10 Aug - 16 Aug</t>
  </si>
  <si>
    <t>Total Profit
₹ 3083.40</t>
  </si>
  <si>
    <t>Top Product (Profit)
3/4" Cancilled</t>
  </si>
  <si>
    <t>Avg. Profit
₹ 440.49</t>
  </si>
  <si>
    <t>Best Day
12-08-2026</t>
  </si>
  <si>
    <t>Week 3 
17 Aug - 23 Aug</t>
  </si>
  <si>
    <t xml:space="preserve">Total Profit
₹ </t>
  </si>
  <si>
    <t xml:space="preserve">Top Product (Profit)
</t>
  </si>
  <si>
    <t>Avg. Profit
₹</t>
  </si>
  <si>
    <t xml:space="preserve">Best Day
</t>
  </si>
  <si>
    <t>Week 4
24 Aug - 30 Aug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</si>
</sst>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₹-439]#,##0.00"/>
  </numFmts>
  <fonts count="21">
    <font>
      <sz val="11"/>
      <color theme="1"/>
      <name val="Calibri"/>
      <family val="2"/>
      <scheme val="minor"/>
    </font>
    <font>
      <b/>
      <sz val="14"/>
      <color rgb="FF000000"/>
      <name val="Calibri"/>
      <family val="2"/>
      <scheme val="minor"/>
    </font>
    <font>
      <sz val="13"/>
      <color rgb="FF000000"/>
      <name val="Calibri"/>
      <family val="2"/>
      <scheme val="minor"/>
    </font>
    <font>
      <b/>
      <sz val="12"/>
      <color rgb="FF1F4E78"/>
      <name val="Calibri"/>
      <scheme val="minor"/>
    </font>
    <font>
      <b/>
      <sz val="16"/>
      <color theme="0"/>
      <name val="Calibri"/>
      <family val="2"/>
      <scheme val="minor"/>
    </font>
    <font>
      <b/>
      <sz val="12"/>
      <color rgb="FF1F4E78"/>
      <name val="Calibri"/>
      <family val="2"/>
      <scheme val="minor"/>
    </font>
    <font>
      <b/>
      <sz val="20"/>
      <color theme="0"/>
      <name val="Calibri"/>
      <scheme val="minor"/>
    </font>
    <font>
      <b/>
      <sz val="19"/>
      <color theme="0"/>
      <name val="Calibri"/>
      <scheme val="minor"/>
    </font>
    <font>
      <b/>
      <sz val="18"/>
      <color theme="0"/>
      <name val="Calibri"/>
      <scheme val="minor"/>
    </font>
    <font>
      <b/>
      <sz val="13"/>
      <color rgb="FF1F4E78"/>
      <name val="Calibri"/>
      <scheme val="minor"/>
    </font>
    <font>
      <sz val="13"/>
      <color rgb="FF000000"/>
      <name val="Calibri"/>
      <scheme val="minor"/>
    </font>
    <font>
      <sz val="13"/>
      <color rgb="FF1F4E78"/>
      <name val="Calibri"/>
      <scheme val="minor"/>
    </font>
    <font>
      <sz val="14"/>
      <color rgb="FF000000"/>
      <name val="Calibri"/>
      <scheme val="minor"/>
    </font>
    <font>
      <sz val="14"/>
      <color theme="1"/>
      <name val="Calibri"/>
      <family val="2"/>
      <scheme val="minor"/>
    </font>
    <font>
      <b/>
      <sz val="36"/>
      <color theme="1"/>
      <name val="Calibri"/>
      <family val="2"/>
      <scheme val="minor"/>
    </font>
    <font>
      <b/>
      <sz val="32"/>
      <color rgb="FF000000"/>
      <name val="Calibri"/>
      <scheme val="minor"/>
    </font>
    <font>
      <b/>
      <sz val="28"/>
      <color rgb="FF000000"/>
      <name val="Calibri"/>
      <scheme val="minor"/>
    </font>
    <font>
      <b/>
      <sz val="36"/>
      <color rgb="FF000000"/>
      <name val="Calibri"/>
      <scheme val="minor"/>
    </font>
    <font>
      <sz val="13"/>
      <color rgb="FF000000"/>
      <name val="Calibri"/>
      <family val="2"/>
      <charset val="1"/>
    </font>
    <font>
      <sz val="13"/>
      <color theme="1"/>
      <name val="Calibri"/>
      <family val="2"/>
      <scheme val="minor"/>
    </font>
    <font>
      <b/>
      <sz val="12"/>
      <color rgb="FF000000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AF3F8"/>
        <bgColor indexed="64"/>
      </patternFill>
    </fill>
  </fills>
  <borders count="5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B7B7B7"/>
      </left>
      <right/>
      <top style="thin">
        <color rgb="FFB7B7B7"/>
      </top>
      <bottom/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 style="thin">
        <color rgb="FFB7B7B7"/>
      </left>
      <right/>
      <top/>
      <bottom/>
      <diagonal/>
    </border>
    <border>
      <left/>
      <right style="thin">
        <color rgb="FFB7B7B7"/>
      </right>
      <top/>
      <bottom/>
      <diagonal/>
    </border>
    <border>
      <left style="thin">
        <color rgb="FFB7B7B7"/>
      </left>
      <right/>
      <top/>
      <bottom style="thin">
        <color rgb="FFB7B7B7"/>
      </bottom>
      <diagonal/>
    </border>
    <border>
      <left/>
      <right/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 style="medium">
        <color rgb="FFB7B7B7"/>
      </left>
      <right/>
      <top style="medium">
        <color rgb="FFB7B7B7"/>
      </top>
      <bottom/>
      <diagonal/>
    </border>
    <border>
      <left/>
      <right/>
      <top style="medium">
        <color rgb="FFB7B7B7"/>
      </top>
      <bottom/>
      <diagonal/>
    </border>
    <border>
      <left/>
      <right style="medium">
        <color rgb="FFB7B7B7"/>
      </right>
      <top style="medium">
        <color rgb="FFB7B7B7"/>
      </top>
      <bottom/>
      <diagonal/>
    </border>
    <border>
      <left style="medium">
        <color rgb="FFB7B7B7"/>
      </left>
      <right/>
      <top/>
      <bottom/>
      <diagonal/>
    </border>
    <border>
      <left/>
      <right style="medium">
        <color rgb="FFB7B7B7"/>
      </right>
      <top/>
      <bottom/>
      <diagonal/>
    </border>
    <border>
      <left style="medium">
        <color rgb="FFB7B7B7"/>
      </left>
      <right/>
      <top/>
      <bottom style="medium">
        <color rgb="FFB7B7B7"/>
      </bottom>
      <diagonal/>
    </border>
    <border>
      <left/>
      <right/>
      <top/>
      <bottom style="medium">
        <color rgb="FFB7B7B7"/>
      </bottom>
      <diagonal/>
    </border>
    <border>
      <left/>
      <right style="medium">
        <color rgb="FFB7B7B7"/>
      </right>
      <top/>
      <bottom style="medium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 style="medium">
        <color rgb="FFB7B7B7"/>
      </left>
      <right style="thin">
        <color rgb="FFB7B7B7"/>
      </right>
      <top style="medium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medium">
        <color rgb="FFB7B7B7"/>
      </top>
      <bottom style="thin">
        <color rgb="FFB7B7B7"/>
      </bottom>
      <diagonal/>
    </border>
    <border>
      <left style="thin">
        <color rgb="FFB7B7B7"/>
      </left>
      <right style="medium">
        <color rgb="FFB7B7B7"/>
      </right>
      <top style="medium">
        <color rgb="FFB7B7B7"/>
      </top>
      <bottom style="thin">
        <color rgb="FFB7B7B7"/>
      </bottom>
      <diagonal/>
    </border>
    <border>
      <left style="medium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medium">
        <color rgb="FFB7B7B7"/>
      </right>
      <top style="thin">
        <color rgb="FFB7B7B7"/>
      </top>
      <bottom style="thin">
        <color rgb="FFB7B7B7"/>
      </bottom>
      <diagonal/>
    </border>
    <border>
      <left style="medium">
        <color rgb="FFB7B7B7"/>
      </left>
      <right style="thin">
        <color rgb="FFB7B7B7"/>
      </right>
      <top style="thin">
        <color rgb="FFB7B7B7"/>
      </top>
      <bottom style="medium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medium">
        <color rgb="FFB7B7B7"/>
      </bottom>
      <diagonal/>
    </border>
    <border>
      <left style="thin">
        <color rgb="FFB7B7B7"/>
      </left>
      <right style="medium">
        <color rgb="FFB7B7B7"/>
      </right>
      <top style="thin">
        <color rgb="FFB7B7B7"/>
      </top>
      <bottom style="medium">
        <color rgb="FFB7B7B7"/>
      </bottom>
      <diagonal/>
    </border>
    <border>
      <left style="thin">
        <color rgb="FFB7B7B7"/>
      </left>
      <right style="medium">
        <color rgb="FFB7B7B7"/>
      </right>
      <top style="thin">
        <color rgb="FFB7B7B7"/>
      </top>
      <bottom/>
      <diagonal/>
    </border>
    <border>
      <left style="medium">
        <color rgb="FFB7B7B7"/>
      </left>
      <right style="thin">
        <color rgb="FFB7B7B7"/>
      </right>
      <top style="thin">
        <color rgb="FFB7B7B7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rgb="FF000000"/>
      </left>
      <right style="thin">
        <color rgb="FF000000"/>
      </right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theme="4" tint="0.3999755851924192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rgb="FF000000"/>
      </left>
      <right/>
      <top style="thin">
        <color theme="4" tint="0.39997558519241921"/>
      </top>
      <bottom style="thin">
        <color rgb="FF000000"/>
      </bottom>
      <diagonal/>
    </border>
    <border>
      <left style="thin">
        <color rgb="FF000000"/>
      </left>
      <right/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rgb="FF000000"/>
      </left>
      <right style="thin">
        <color rgb="FF000000"/>
      </right>
      <top style="thin">
        <color theme="1"/>
      </top>
      <bottom style="thin">
        <color theme="1"/>
      </bottom>
      <diagonal/>
    </border>
    <border>
      <left style="thin">
        <color rgb="FF000000"/>
      </left>
      <right style="thin">
        <color rgb="FF000000"/>
      </right>
      <top style="thin">
        <color theme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theme="1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theme="1"/>
      </bottom>
      <diagonal/>
    </border>
  </borders>
  <cellStyleXfs count="1">
    <xf numFmtId="0" fontId="0" fillId="0" borderId="0"/>
  </cellStyleXfs>
  <cellXfs count="121">
    <xf numFmtId="0" fontId="0" fillId="0" borderId="0" xfId="0"/>
    <xf numFmtId="14" fontId="1" fillId="2" borderId="2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1" fontId="1" fillId="2" borderId="2" xfId="0" applyNumberFormat="1" applyFont="1" applyFill="1" applyBorder="1" applyAlignment="1">
      <alignment horizontal="center" vertical="center"/>
    </xf>
    <xf numFmtId="164" fontId="1" fillId="2" borderId="2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0" fillId="0" borderId="0" xfId="0" applyBorder="1"/>
    <xf numFmtId="14" fontId="2" fillId="2" borderId="33" xfId="0" applyNumberFormat="1" applyFont="1" applyFill="1" applyBorder="1" applyAlignment="1">
      <alignment horizontal="center" vertical="center"/>
    </xf>
    <xf numFmtId="0" fontId="2" fillId="2" borderId="33" xfId="0" applyFont="1" applyFill="1" applyBorder="1" applyAlignment="1">
      <alignment horizontal="center" vertical="center"/>
    </xf>
    <xf numFmtId="1" fontId="2" fillId="2" borderId="33" xfId="0" applyNumberFormat="1" applyFont="1" applyFill="1" applyBorder="1" applyAlignment="1">
      <alignment horizontal="center" vertical="center"/>
    </xf>
    <xf numFmtId="164" fontId="2" fillId="2" borderId="33" xfId="0" applyNumberFormat="1" applyFont="1" applyFill="1" applyBorder="1" applyAlignment="1">
      <alignment horizontal="center" vertical="center"/>
    </xf>
    <xf numFmtId="0" fontId="18" fillId="2" borderId="34" xfId="0" applyFont="1" applyFill="1" applyBorder="1" applyAlignment="1">
      <alignment horizontal="center" vertical="center"/>
    </xf>
    <xf numFmtId="14" fontId="2" fillId="2" borderId="35" xfId="0" applyNumberFormat="1" applyFont="1" applyFill="1" applyBorder="1" applyAlignment="1">
      <alignment horizontal="center" vertical="center"/>
    </xf>
    <xf numFmtId="164" fontId="2" fillId="2" borderId="35" xfId="0" applyNumberFormat="1" applyFont="1" applyFill="1" applyBorder="1" applyAlignment="1">
      <alignment horizontal="center" vertical="center"/>
    </xf>
    <xf numFmtId="14" fontId="2" fillId="2" borderId="36" xfId="0" applyNumberFormat="1" applyFont="1" applyFill="1" applyBorder="1" applyAlignment="1">
      <alignment horizontal="center" vertical="center"/>
    </xf>
    <xf numFmtId="0" fontId="2" fillId="2" borderId="36" xfId="0" applyFont="1" applyFill="1" applyBorder="1" applyAlignment="1">
      <alignment horizontal="center" vertical="center"/>
    </xf>
    <xf numFmtId="164" fontId="2" fillId="2" borderId="36" xfId="0" applyNumberFormat="1" applyFont="1" applyFill="1" applyBorder="1" applyAlignment="1">
      <alignment horizontal="center" vertical="center"/>
    </xf>
    <xf numFmtId="164" fontId="2" fillId="2" borderId="32" xfId="0" applyNumberFormat="1" applyFont="1" applyFill="1" applyBorder="1" applyAlignment="1">
      <alignment horizontal="center" vertical="center"/>
    </xf>
    <xf numFmtId="0" fontId="2" fillId="2" borderId="38" xfId="0" applyFont="1" applyFill="1" applyBorder="1" applyAlignment="1">
      <alignment horizontal="center" vertical="center"/>
    </xf>
    <xf numFmtId="0" fontId="2" fillId="2" borderId="39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164" fontId="1" fillId="2" borderId="41" xfId="0" applyNumberFormat="1" applyFont="1" applyFill="1" applyBorder="1" applyAlignment="1">
      <alignment horizontal="center" vertical="center"/>
    </xf>
    <xf numFmtId="0" fontId="1" fillId="2" borderId="42" xfId="0" applyFont="1" applyFill="1" applyBorder="1" applyAlignment="1">
      <alignment horizontal="center" vertical="center"/>
    </xf>
    <xf numFmtId="164" fontId="2" fillId="2" borderId="37" xfId="0" applyNumberFormat="1" applyFont="1" applyFill="1" applyBorder="1" applyAlignment="1">
      <alignment horizontal="center" vertical="center"/>
    </xf>
    <xf numFmtId="14" fontId="2" fillId="2" borderId="32" xfId="0" applyNumberFormat="1" applyFont="1" applyFill="1" applyBorder="1" applyAlignment="1">
      <alignment horizontal="center" vertical="center"/>
    </xf>
    <xf numFmtId="0" fontId="2" fillId="2" borderId="32" xfId="0" applyFont="1" applyFill="1" applyBorder="1" applyAlignment="1">
      <alignment horizontal="center" vertical="center"/>
    </xf>
    <xf numFmtId="164" fontId="2" fillId="2" borderId="43" xfId="0" applyNumberFormat="1" applyFont="1" applyFill="1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9" fillId="4" borderId="4" xfId="0" applyFont="1" applyFill="1" applyBorder="1" applyAlignment="1">
      <alignment horizontal="left" vertical="center" wrapText="1" indent="2"/>
    </xf>
    <xf numFmtId="0" fontId="3" fillId="4" borderId="5" xfId="0" applyFont="1" applyFill="1" applyBorder="1" applyAlignment="1">
      <alignment horizontal="left" vertical="center" wrapText="1" indent="2"/>
    </xf>
    <xf numFmtId="0" fontId="3" fillId="4" borderId="6" xfId="0" applyFont="1" applyFill="1" applyBorder="1" applyAlignment="1">
      <alignment horizontal="left" vertical="center" wrapText="1" indent="2"/>
    </xf>
    <xf numFmtId="0" fontId="3" fillId="4" borderId="7" xfId="0" applyFont="1" applyFill="1" applyBorder="1" applyAlignment="1">
      <alignment horizontal="left" vertical="center" wrapText="1" indent="2"/>
    </xf>
    <xf numFmtId="0" fontId="3" fillId="4" borderId="0" xfId="0" applyFont="1" applyFill="1" applyBorder="1" applyAlignment="1">
      <alignment horizontal="left" vertical="center" wrapText="1" indent="2"/>
    </xf>
    <xf numFmtId="0" fontId="3" fillId="4" borderId="8" xfId="0" applyFont="1" applyFill="1" applyBorder="1" applyAlignment="1">
      <alignment horizontal="left" vertical="center" wrapText="1" indent="2"/>
    </xf>
    <xf numFmtId="0" fontId="3" fillId="4" borderId="9" xfId="0" applyFont="1" applyFill="1" applyBorder="1" applyAlignment="1">
      <alignment horizontal="left" vertical="center" wrapText="1" indent="2"/>
    </xf>
    <xf numFmtId="0" fontId="3" fillId="4" borderId="10" xfId="0" applyFont="1" applyFill="1" applyBorder="1" applyAlignment="1">
      <alignment horizontal="left" vertical="center" wrapText="1" indent="2"/>
    </xf>
    <xf numFmtId="0" fontId="3" fillId="4" borderId="11" xfId="0" applyFont="1" applyFill="1" applyBorder="1" applyAlignment="1">
      <alignment horizontal="left" vertical="center" wrapText="1" indent="2"/>
    </xf>
    <xf numFmtId="0" fontId="6" fillId="3" borderId="4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6" fillId="3" borderId="0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6" fillId="3" borderId="9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11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 wrapText="1"/>
    </xf>
    <xf numFmtId="0" fontId="4" fillId="3" borderId="10" xfId="0" applyFont="1" applyFill="1" applyBorder="1" applyAlignment="1">
      <alignment horizontal="center" vertical="center" wrapText="1"/>
    </xf>
    <xf numFmtId="0" fontId="4" fillId="3" borderId="11" xfId="0" applyFont="1" applyFill="1" applyBorder="1" applyAlignment="1">
      <alignment horizontal="center" vertical="center" wrapText="1"/>
    </xf>
    <xf numFmtId="0" fontId="5" fillId="4" borderId="7" xfId="0" applyFont="1" applyFill="1" applyBorder="1" applyAlignment="1">
      <alignment horizontal="left" vertical="center" wrapText="1" indent="2"/>
    </xf>
    <xf numFmtId="0" fontId="5" fillId="4" borderId="0" xfId="0" applyFont="1" applyFill="1" applyBorder="1" applyAlignment="1">
      <alignment horizontal="left" vertical="center" wrapText="1" indent="2"/>
    </xf>
    <xf numFmtId="0" fontId="5" fillId="4" borderId="8" xfId="0" applyFont="1" applyFill="1" applyBorder="1" applyAlignment="1">
      <alignment horizontal="left" vertical="center" wrapText="1" indent="2"/>
    </xf>
    <xf numFmtId="0" fontId="5" fillId="4" borderId="9" xfId="0" applyFont="1" applyFill="1" applyBorder="1" applyAlignment="1">
      <alignment horizontal="left" vertical="center" wrapText="1" indent="2"/>
    </xf>
    <xf numFmtId="0" fontId="5" fillId="4" borderId="10" xfId="0" applyFont="1" applyFill="1" applyBorder="1" applyAlignment="1">
      <alignment horizontal="left" vertical="center" wrapText="1" indent="2"/>
    </xf>
    <xf numFmtId="0" fontId="5" fillId="4" borderId="11" xfId="0" applyFont="1" applyFill="1" applyBorder="1" applyAlignment="1">
      <alignment horizontal="left" vertical="center" wrapText="1" indent="2"/>
    </xf>
    <xf numFmtId="0" fontId="5" fillId="4" borderId="4" xfId="0" applyFont="1" applyFill="1" applyBorder="1" applyAlignment="1">
      <alignment horizontal="left" vertical="center" wrapText="1" indent="2"/>
    </xf>
    <xf numFmtId="0" fontId="5" fillId="4" borderId="5" xfId="0" applyFont="1" applyFill="1" applyBorder="1" applyAlignment="1">
      <alignment horizontal="left" vertical="center" wrapText="1" indent="2"/>
    </xf>
    <xf numFmtId="0" fontId="5" fillId="4" borderId="6" xfId="0" applyFont="1" applyFill="1" applyBorder="1" applyAlignment="1">
      <alignment horizontal="left" vertical="center" wrapText="1" indent="2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12" fillId="0" borderId="22" xfId="0" applyFont="1" applyBorder="1" applyAlignment="1">
      <alignment horizontal="center" vertical="center" wrapText="1"/>
    </xf>
    <xf numFmtId="0" fontId="13" fillId="0" borderId="23" xfId="0" applyFont="1" applyBorder="1" applyAlignment="1">
      <alignment horizontal="center" vertical="center" wrapText="1"/>
    </xf>
    <xf numFmtId="0" fontId="13" fillId="0" borderId="24" xfId="0" applyFont="1" applyBorder="1" applyAlignment="1">
      <alignment horizontal="center" vertical="center" wrapText="1"/>
    </xf>
    <xf numFmtId="0" fontId="13" fillId="0" borderId="25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/>
    </xf>
    <xf numFmtId="0" fontId="13" fillId="0" borderId="26" xfId="0" applyFont="1" applyBorder="1" applyAlignment="1">
      <alignment horizontal="center" vertical="center" wrapText="1"/>
    </xf>
    <xf numFmtId="0" fontId="13" fillId="0" borderId="27" xfId="0" applyFont="1" applyBorder="1" applyAlignment="1">
      <alignment horizontal="center" vertical="center" wrapText="1"/>
    </xf>
    <xf numFmtId="0" fontId="13" fillId="0" borderId="28" xfId="0" applyFont="1" applyBorder="1" applyAlignment="1">
      <alignment horizontal="center" vertical="center" wrapText="1"/>
    </xf>
    <xf numFmtId="0" fontId="13" fillId="0" borderId="29" xfId="0" applyFont="1" applyBorder="1" applyAlignment="1">
      <alignment horizontal="center" vertical="center" wrapText="1"/>
    </xf>
    <xf numFmtId="0" fontId="17" fillId="0" borderId="12" xfId="0" applyFont="1" applyBorder="1" applyAlignment="1">
      <alignment horizontal="center" vertical="center" wrapText="1"/>
    </xf>
    <xf numFmtId="0" fontId="14" fillId="0" borderId="13" xfId="0" applyFont="1" applyBorder="1" applyAlignment="1">
      <alignment horizontal="center" vertical="center" wrapText="1"/>
    </xf>
    <xf numFmtId="0" fontId="14" fillId="0" borderId="14" xfId="0" applyFont="1" applyBorder="1" applyAlignment="1">
      <alignment horizontal="center" vertical="center" wrapText="1"/>
    </xf>
    <xf numFmtId="0" fontId="14" fillId="0" borderId="15" xfId="0" applyFont="1" applyBorder="1" applyAlignment="1">
      <alignment horizontal="center" vertical="center" wrapText="1"/>
    </xf>
    <xf numFmtId="0" fontId="14" fillId="0" borderId="0" xfId="0" applyFont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0" fontId="14" fillId="0" borderId="17" xfId="0" applyFont="1" applyBorder="1" applyAlignment="1">
      <alignment horizontal="center" vertical="center" wrapText="1"/>
    </xf>
    <xf numFmtId="0" fontId="14" fillId="0" borderId="18" xfId="0" applyFont="1" applyBorder="1" applyAlignment="1">
      <alignment horizontal="center" vertical="center" wrapText="1"/>
    </xf>
    <xf numFmtId="0" fontId="14" fillId="0" borderId="19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0" xfId="0" applyFont="1" applyBorder="1" applyAlignment="1">
      <alignment horizontal="center" vertical="center" wrapText="1"/>
    </xf>
    <xf numFmtId="0" fontId="13" fillId="0" borderId="31" xfId="0" applyFont="1" applyBorder="1" applyAlignment="1">
      <alignment horizontal="center" vertical="center" wrapText="1"/>
    </xf>
    <xf numFmtId="164" fontId="2" fillId="2" borderId="3" xfId="0" applyNumberFormat="1" applyFont="1" applyFill="1" applyBorder="1" applyAlignment="1">
      <alignment horizontal="center" vertical="center"/>
    </xf>
    <xf numFmtId="0" fontId="2" fillId="2" borderId="3" xfId="0" applyNumberFormat="1" applyFont="1" applyFill="1" applyBorder="1" applyAlignment="1">
      <alignment horizontal="center" vertical="center"/>
    </xf>
    <xf numFmtId="164" fontId="2" fillId="2" borderId="46" xfId="0" applyNumberFormat="1" applyFont="1" applyFill="1" applyBorder="1" applyAlignment="1">
      <alignment horizontal="center" vertical="center"/>
    </xf>
    <xf numFmtId="164" fontId="2" fillId="2" borderId="44" xfId="0" applyNumberFormat="1" applyFont="1" applyFill="1" applyBorder="1" applyAlignment="1">
      <alignment horizontal="center" vertical="center"/>
    </xf>
    <xf numFmtId="164" fontId="2" fillId="2" borderId="45" xfId="0" applyNumberFormat="1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2" fillId="2" borderId="47" xfId="0" applyNumberFormat="1" applyFont="1" applyFill="1" applyBorder="1" applyAlignment="1">
      <alignment horizontal="center" vertical="center"/>
    </xf>
    <xf numFmtId="164" fontId="2" fillId="2" borderId="48" xfId="0" applyNumberFormat="1" applyFont="1" applyFill="1" applyBorder="1" applyAlignment="1">
      <alignment horizontal="center" vertical="center"/>
    </xf>
    <xf numFmtId="164" fontId="2" fillId="2" borderId="49" xfId="0" applyNumberFormat="1" applyFont="1" applyFill="1" applyBorder="1" applyAlignment="1">
      <alignment horizontal="center" vertical="center"/>
    </xf>
    <xf numFmtId="0" fontId="2" fillId="2" borderId="1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left" vertical="center" wrapText="1" indent="2"/>
    </xf>
    <xf numFmtId="0" fontId="0" fillId="0" borderId="0" xfId="0" pivotButton="1"/>
    <xf numFmtId="0" fontId="19" fillId="0" borderId="32" xfId="0" applyFont="1" applyBorder="1" applyAlignment="1">
      <alignment horizontal="right" vertical="center" indent="4"/>
    </xf>
    <xf numFmtId="164" fontId="19" fillId="0" borderId="32" xfId="0" applyNumberFormat="1" applyFont="1" applyBorder="1" applyAlignment="1">
      <alignment horizontal="left" vertical="center" indent="10"/>
    </xf>
    <xf numFmtId="14" fontId="19" fillId="0" borderId="1" xfId="0" applyNumberFormat="1" applyFont="1" applyBorder="1"/>
    <xf numFmtId="164" fontId="19" fillId="0" borderId="43" xfId="0" applyNumberFormat="1" applyFont="1" applyBorder="1" applyAlignment="1">
      <alignment horizontal="left" vertical="center" indent="8"/>
    </xf>
    <xf numFmtId="0" fontId="19" fillId="0" borderId="37" xfId="0" applyFont="1" applyBorder="1" applyAlignment="1">
      <alignment horizontal="left" vertical="center" indent="1"/>
    </xf>
    <xf numFmtId="0" fontId="19" fillId="0" borderId="0" xfId="0" pivotButton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0" xfId="0" pivotButton="1" applyFont="1" applyAlignment="1">
      <alignment horizontal="left" indent="1"/>
    </xf>
    <xf numFmtId="0" fontId="0" fillId="0" borderId="1" xfId="0" pivotButton="1" applyBorder="1"/>
    <xf numFmtId="0" fontId="0" fillId="0" borderId="1" xfId="0" applyBorder="1"/>
    <xf numFmtId="0" fontId="0" fillId="0" borderId="1" xfId="0" pivotButton="1" applyBorder="1" applyAlignment="1">
      <alignment horizontal="left" indent="1"/>
    </xf>
    <xf numFmtId="0" fontId="0" fillId="0" borderId="1" xfId="0" applyBorder="1" applyAlignment="1">
      <alignment horizontal="left" vertical="center" indent="2"/>
    </xf>
    <xf numFmtId="0" fontId="19" fillId="0" borderId="1" xfId="0" applyNumberFormat="1" applyFont="1" applyBorder="1" applyAlignment="1">
      <alignment horizontal="right" vertical="center" indent="3"/>
    </xf>
    <xf numFmtId="0" fontId="0" fillId="0" borderId="1" xfId="0" applyNumberFormat="1" applyBorder="1"/>
    <xf numFmtId="14" fontId="0" fillId="0" borderId="1" xfId="0" applyNumberFormat="1" applyBorder="1"/>
    <xf numFmtId="164" fontId="0" fillId="0" borderId="1" xfId="0" applyNumberFormat="1" applyBorder="1"/>
  </cellXfs>
  <cellStyles count="1">
    <cellStyle name="Normal" xfId="0" builtinId="0"/>
  </cellStyles>
  <dxfs count="17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Calibri"/>
        <family val="2"/>
        <scheme val="minor"/>
      </font>
      <numFmt numFmtId="164" formatCode="[$₹-439]#,##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 style="thin">
          <color theme="1"/>
        </vertical>
        <horizontal style="thin">
          <color theme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Calibri"/>
        <family val="2"/>
        <scheme val="minor"/>
      </font>
      <numFmt numFmtId="164" formatCode="[$₹-439]#,##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Calibri"/>
        <family val="2"/>
        <scheme val="minor"/>
      </font>
      <numFmt numFmtId="164" formatCode="[$₹-439]#,##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Calibri"/>
        <family val="2"/>
        <scheme val="minor"/>
      </font>
      <numFmt numFmtId="164" formatCode="[$₹-439]#,##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theme="4" tint="0.39997558519241921"/>
        </top>
        <bottom/>
        <vertical/>
        <horizontal/>
      </border>
    </dxf>
    <dxf>
      <border outline="0">
        <top style="medium">
          <color rgb="FF000000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minor"/>
      </font>
      <numFmt numFmtId="164" formatCode="[$₹-439]#,##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sz val="13"/>
      </font>
    </dxf>
    <dxf>
      <alignment horizontal="right"/>
    </dxf>
    <dxf>
      <alignment relativeIndent="1"/>
    </dxf>
    <dxf>
      <alignment relativeIndent="1"/>
    </dxf>
    <dxf>
      <alignment relativeIndent="1"/>
    </dxf>
    <dxf>
      <alignment vertical="center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vertical="center"/>
    </dxf>
    <dxf>
      <alignment vertical="center"/>
    </dxf>
    <dxf>
      <alignment horizontal="left"/>
    </dxf>
    <dxf>
      <alignment horizontal="left"/>
    </dxf>
    <dxf>
      <border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alignment horizontal="right"/>
    </dxf>
    <dxf>
      <alignment relativeIndent="1"/>
    </dxf>
    <dxf>
      <alignment relativeIndent="1"/>
    </dxf>
    <dxf>
      <alignment relativeIndent="1"/>
    </dxf>
    <dxf>
      <border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alignment horizontal="left" relativeIndent="1"/>
    </dxf>
    <dxf>
      <alignment horizontal="left" relativeIndent="1"/>
    </dxf>
    <dxf>
      <alignment relativeIndent="-1"/>
    </dxf>
    <dxf>
      <alignment relativeIndent="-1"/>
    </dxf>
    <dxf>
      <alignment relativeIndent="-1"/>
    </dxf>
    <dxf>
      <alignment relativeIndent="-1"/>
    </dxf>
    <dxf>
      <alignment relativeIndent="-1"/>
    </dxf>
    <dxf>
      <alignment relativeIndent="-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-1"/>
    </dxf>
    <dxf>
      <alignment relativeIndent="-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-1"/>
    </dxf>
    <dxf>
      <alignment relativeIndent="-1"/>
    </dxf>
    <dxf>
      <alignment relativeIndent="-1"/>
    </dxf>
    <dxf>
      <alignment relativeIndent="1"/>
    </dxf>
    <dxf>
      <alignment relativeIndent="1"/>
    </dxf>
    <dxf>
      <alignment vertical="center"/>
    </dxf>
    <dxf>
      <alignment vertical="center"/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alignment relativeIndent="1"/>
    </dxf>
    <dxf>
      <alignment relativeIndent="1"/>
    </dxf>
    <dxf>
      <alignment relativeIndent="-1"/>
    </dxf>
    <dxf>
      <alignment relativeIndent="-1"/>
    </dxf>
    <dxf>
      <alignment relativeIndent="1"/>
    </dxf>
    <dxf>
      <alignment relativeIndent="1"/>
    </dxf>
    <dxf>
      <alignment horizontal="right"/>
    </dxf>
    <dxf>
      <alignment relativeIndent="1"/>
    </dxf>
    <dxf>
      <alignment relativeIndent="1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relativeIndent="1"/>
    </dxf>
    <dxf>
      <alignment relativeIndent="1"/>
    </dxf>
    <dxf>
      <alignment relativeIndent="1"/>
    </dxf>
    <dxf>
      <alignment relativeIndent="-1"/>
    </dxf>
    <dxf>
      <alignment relativeIndent="-1"/>
    </dxf>
    <dxf>
      <alignment relativeIndent="-1"/>
    </dxf>
    <dxf>
      <alignment relativeIndent="-1"/>
    </dxf>
    <dxf>
      <alignment relativeIndent="-1"/>
    </dxf>
    <dxf>
      <alignment relativeIndent="-1"/>
    </dxf>
    <dxf>
      <alignment relativeIndent="1"/>
    </dxf>
    <dxf>
      <alignment relativeIndent="-1"/>
    </dxf>
    <dxf>
      <alignment relativeIndent="-1"/>
    </dxf>
    <dxf>
      <alignment relativeIndent="-1"/>
    </dxf>
    <dxf>
      <alignment relativeIndent="1"/>
    </dxf>
    <dxf>
      <alignment relativeIndent="1"/>
    </dxf>
    <dxf>
      <alignment relativeIndent="-1"/>
    </dxf>
    <dxf>
      <alignment relativeIndent="-1"/>
    </dxf>
    <dxf>
      <alignment relativeIndent="-1"/>
    </dxf>
    <dxf>
      <alignment relativeIndent="-1"/>
    </dxf>
    <dxf>
      <alignment relativeIndent="-1"/>
    </dxf>
    <dxf>
      <alignment relativeIndent="-1"/>
    </dxf>
    <dxf>
      <alignment relativeIndent="-1"/>
    </dxf>
    <dxf>
      <alignment relativeIndent="-1"/>
    </dxf>
    <dxf>
      <alignment relativeIndent="-1"/>
    </dxf>
    <dxf>
      <alignment relativeIndent="-1"/>
    </dxf>
    <dxf>
      <alignment relativeIndent="1"/>
    </dxf>
    <dxf>
      <alignment relativeIndent="1"/>
    </dxf>
    <dxf>
      <alignment relativeIndent="1"/>
    </dxf>
    <dxf>
      <alignment relativeIndent="1"/>
    </dxf>
    <dxf>
      <alignment vertical="center"/>
    </dxf>
    <dxf>
      <alignment vertical="center"/>
    </dxf>
    <dxf>
      <alignment vertical="center"/>
    </dxf>
    <dxf>
      <alignment horizontal="right"/>
    </dxf>
    <dxf>
      <alignment horizontal="right"/>
    </dxf>
    <dxf>
      <alignment horizontal="right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relativeIndent="-1"/>
    </dxf>
    <dxf>
      <alignment horizontal="left" relativeIndent="-1"/>
    </dxf>
    <dxf>
      <alignment horizontal="left" relativeIndent="-1"/>
    </dxf>
    <dxf>
      <alignment horizontal="left" relativeIndent="-1"/>
    </dxf>
    <dxf>
      <alignment horizontal="left" relativeIndent="-1"/>
    </dxf>
    <dxf>
      <alignment horizontal="left" relativeIndent="-1"/>
    </dxf>
    <dxf>
      <alignment horizontal="left" relativeIndent="-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-1"/>
    </dxf>
    <dxf>
      <alignment relativeIndent="-1"/>
    </dxf>
    <dxf>
      <alignment relativeIndent="-1"/>
    </dxf>
    <dxf>
      <alignment relativeIndent="-1"/>
    </dxf>
    <dxf>
      <alignment relativeIndent="-1"/>
    </dxf>
    <dxf>
      <alignment relativeIndent="-1"/>
    </dxf>
    <dxf>
      <alignment relativeIndent="-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-1"/>
    </dxf>
    <dxf>
      <alignment relativeIndent="-1"/>
    </dxf>
    <dxf>
      <alignment relativeIndent="-1"/>
    </dxf>
    <dxf>
      <alignment relativeIndent="-1"/>
    </dxf>
    <dxf>
      <alignment horizontal="center"/>
    </dxf>
  </dxfs>
  <tableStyles count="0" defaultTableStyle="TableStyleMedium2" defaultPivotStyle="PivotStyleMedium9"/>
  <colors>
    <mruColors>
      <color rgb="FFB7B7B7"/>
      <color rgb="FFEAF3F8"/>
      <color rgb="FF6395C2"/>
      <color rgb="FF1F4E78"/>
      <color rgb="FFF4C95D"/>
      <color rgb="FFF2C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[Shop Sales Analysis System.xlsx]Pivot_Analysis - Week - 1!PivotTable1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Profit Trend ( 03 Aug - 09 Aug 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'Pivot_Analysis - Week - 1'!$F$4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'Pivot_Analysis - Week - 1'!$E$5:$E$12</c:f>
              <c:strCache>
                <c:ptCount val="7"/>
                <c:pt idx="0">
                  <c:v>03/08/2026</c:v>
                </c:pt>
                <c:pt idx="1">
                  <c:v>04/08/2026</c:v>
                </c:pt>
                <c:pt idx="2">
                  <c:v>05/08/2026</c:v>
                </c:pt>
                <c:pt idx="3">
                  <c:v>06/08/2026</c:v>
                </c:pt>
                <c:pt idx="4">
                  <c:v>07/08/2026</c:v>
                </c:pt>
                <c:pt idx="5">
                  <c:v>08/08/2026</c:v>
                </c:pt>
                <c:pt idx="6">
                  <c:v>09/08/2026</c:v>
                </c:pt>
              </c:strCache>
            </c:strRef>
          </c:cat>
          <c:val>
            <c:numRef>
              <c:f>'Pivot_Analysis - Week - 1'!$F$5:$F$12</c:f>
              <c:numCache>
                <c:formatCode>[$₹-439]#,##0.00</c:formatCode>
                <c:ptCount val="7"/>
                <c:pt idx="0">
                  <c:v>562.20000000000005</c:v>
                </c:pt>
                <c:pt idx="1">
                  <c:v>683</c:v>
                </c:pt>
                <c:pt idx="2">
                  <c:v>272</c:v>
                </c:pt>
                <c:pt idx="3">
                  <c:v>558</c:v>
                </c:pt>
                <c:pt idx="4">
                  <c:v>601.5</c:v>
                </c:pt>
                <c:pt idx="5">
                  <c:v>399.4</c:v>
                </c:pt>
                <c:pt idx="6">
                  <c:v>564.29999999999995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9FC-4900-B8E7-7F7C64B96B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3108999"/>
        <c:axId val="513142791"/>
      </c:lineChart>
      <c:catAx>
        <c:axId val="5131089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3142791"/>
        <c:crosses val="autoZero"/>
        <c:auto val="1"/>
        <c:lblAlgn val="ctr"/>
        <c:lblOffset val="100"/>
        <c:noMultiLvlLbl val="0"/>
      </c:catAx>
      <c:valAx>
        <c:axId val="5131427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₹-439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31089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[Shop Sales Analysis System.xlsx]Pivot_Analysis - Week - 1!PivotTable2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Products By Profit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'Pivot_Analysis - Week - 1'!$O$4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'Pivot_Analysis - Week - 1'!$N$5:$N$50</c:f>
              <c:strCache>
                <c:ptCount val="45"/>
                <c:pt idx="0">
                  <c:v>Handpump</c:v>
                </c:pt>
                <c:pt idx="1">
                  <c:v>Tank Cover</c:v>
                </c:pt>
                <c:pt idx="2">
                  <c:v>Stand Besin</c:v>
                </c:pt>
                <c:pt idx="3">
                  <c:v>1" Pipe</c:v>
                </c:pt>
                <c:pt idx="4">
                  <c:v>Flusher</c:v>
                </c:pt>
                <c:pt idx="5">
                  <c:v>4" Pipe</c:v>
                </c:pt>
                <c:pt idx="6">
                  <c:v>Tap</c:v>
                </c:pt>
                <c:pt idx="7">
                  <c:v>Loose Pipe</c:v>
                </c:pt>
                <c:pt idx="8">
                  <c:v>1" Elbow</c:v>
                </c:pt>
                <c:pt idx="9">
                  <c:v>1/2"x12" Nepul</c:v>
                </c:pt>
                <c:pt idx="10">
                  <c:v>Connection Pipe</c:v>
                </c:pt>
                <c:pt idx="11">
                  <c:v>4" Band</c:v>
                </c:pt>
                <c:pt idx="12">
                  <c:v>Solvent</c:v>
                </c:pt>
                <c:pt idx="13">
                  <c:v>Long Tap</c:v>
                </c:pt>
                <c:pt idx="14">
                  <c:v>4" Coupler</c:v>
                </c:pt>
                <c:pt idx="15">
                  <c:v>3/4" Checkvalve</c:v>
                </c:pt>
                <c:pt idx="16">
                  <c:v>Shower</c:v>
                </c:pt>
                <c:pt idx="17">
                  <c:v>3" Pipe</c:v>
                </c:pt>
                <c:pt idx="18">
                  <c:v>Solvent 10ml</c:v>
                </c:pt>
                <c:pt idx="19">
                  <c:v>3" Coupler</c:v>
                </c:pt>
                <c:pt idx="20">
                  <c:v>1/2" Pipe</c:v>
                </c:pt>
                <c:pt idx="21">
                  <c:v>1" Ball Valve</c:v>
                </c:pt>
                <c:pt idx="22">
                  <c:v>PVC Hook</c:v>
                </c:pt>
                <c:pt idx="23">
                  <c:v>3" Band</c:v>
                </c:pt>
                <c:pt idx="24">
                  <c:v>Angle Cock</c:v>
                </c:pt>
                <c:pt idx="25">
                  <c:v>1½"x3/4" Rodiser</c:v>
                </c:pt>
                <c:pt idx="26">
                  <c:v>5" Syphan</c:v>
                </c:pt>
                <c:pt idx="27">
                  <c:v>Waste Pipe</c:v>
                </c:pt>
                <c:pt idx="28">
                  <c:v>1½"x6" Nepul</c:v>
                </c:pt>
                <c:pt idx="29">
                  <c:v>3" Tee</c:v>
                </c:pt>
                <c:pt idx="30">
                  <c:v>3" End Cap</c:v>
                </c:pt>
                <c:pt idx="31">
                  <c:v>Fan Hook</c:v>
                </c:pt>
                <c:pt idx="32">
                  <c:v>4" Tee</c:v>
                </c:pt>
                <c:pt idx="33">
                  <c:v>Solvent PVC</c:v>
                </c:pt>
                <c:pt idx="34">
                  <c:v>White Cement</c:v>
                </c:pt>
                <c:pt idx="35">
                  <c:v>1" Coupler</c:v>
                </c:pt>
                <c:pt idx="36">
                  <c:v>3" Hook</c:v>
                </c:pt>
                <c:pt idx="37">
                  <c:v>1"x4" Nepul</c:v>
                </c:pt>
                <c:pt idx="38">
                  <c:v>4" Blade</c:v>
                </c:pt>
                <c:pt idx="39">
                  <c:v>3/4"x3" Nepul</c:v>
                </c:pt>
                <c:pt idx="40">
                  <c:v>M-Seal</c:v>
                </c:pt>
                <c:pt idx="41">
                  <c:v>Plumber Masala</c:v>
                </c:pt>
                <c:pt idx="42">
                  <c:v>3" Bocket</c:v>
                </c:pt>
                <c:pt idx="43">
                  <c:v>Suta</c:v>
                </c:pt>
                <c:pt idx="44">
                  <c:v>Aree Blade</c:v>
                </c:pt>
              </c:strCache>
            </c:strRef>
          </c:cat>
          <c:val>
            <c:numRef>
              <c:f>'Pivot_Analysis - Week - 1'!$O$5:$O$50</c:f>
              <c:numCache>
                <c:formatCode>General</c:formatCode>
                <c:ptCount val="45"/>
                <c:pt idx="0">
                  <c:v>470</c:v>
                </c:pt>
                <c:pt idx="1">
                  <c:v>380</c:v>
                </c:pt>
                <c:pt idx="2">
                  <c:v>256</c:v>
                </c:pt>
                <c:pt idx="3">
                  <c:v>238</c:v>
                </c:pt>
                <c:pt idx="4">
                  <c:v>220</c:v>
                </c:pt>
                <c:pt idx="5">
                  <c:v>162</c:v>
                </c:pt>
                <c:pt idx="6">
                  <c:v>126</c:v>
                </c:pt>
                <c:pt idx="7">
                  <c:v>120</c:v>
                </c:pt>
                <c:pt idx="8">
                  <c:v>97.5</c:v>
                </c:pt>
                <c:pt idx="9">
                  <c:v>96</c:v>
                </c:pt>
                <c:pt idx="10">
                  <c:v>94</c:v>
                </c:pt>
                <c:pt idx="11">
                  <c:v>84</c:v>
                </c:pt>
                <c:pt idx="12">
                  <c:v>76</c:v>
                </c:pt>
                <c:pt idx="13">
                  <c:v>74</c:v>
                </c:pt>
                <c:pt idx="14">
                  <c:v>72</c:v>
                </c:pt>
                <c:pt idx="15">
                  <c:v>70</c:v>
                </c:pt>
                <c:pt idx="16">
                  <c:v>70</c:v>
                </c:pt>
                <c:pt idx="17">
                  <c:v>66</c:v>
                </c:pt>
                <c:pt idx="18">
                  <c:v>64</c:v>
                </c:pt>
                <c:pt idx="19">
                  <c:v>55</c:v>
                </c:pt>
                <c:pt idx="20">
                  <c:v>54</c:v>
                </c:pt>
                <c:pt idx="21">
                  <c:v>52</c:v>
                </c:pt>
                <c:pt idx="22">
                  <c:v>48</c:v>
                </c:pt>
                <c:pt idx="23">
                  <c:v>48</c:v>
                </c:pt>
                <c:pt idx="24">
                  <c:v>48</c:v>
                </c:pt>
                <c:pt idx="25">
                  <c:v>43</c:v>
                </c:pt>
                <c:pt idx="26">
                  <c:v>40</c:v>
                </c:pt>
                <c:pt idx="27">
                  <c:v>38</c:v>
                </c:pt>
                <c:pt idx="28">
                  <c:v>36</c:v>
                </c:pt>
                <c:pt idx="29">
                  <c:v>36</c:v>
                </c:pt>
                <c:pt idx="30">
                  <c:v>32</c:v>
                </c:pt>
                <c:pt idx="31">
                  <c:v>31.5</c:v>
                </c:pt>
                <c:pt idx="32">
                  <c:v>30</c:v>
                </c:pt>
                <c:pt idx="33">
                  <c:v>28</c:v>
                </c:pt>
                <c:pt idx="34">
                  <c:v>26</c:v>
                </c:pt>
                <c:pt idx="35">
                  <c:v>24</c:v>
                </c:pt>
                <c:pt idx="36">
                  <c:v>21</c:v>
                </c:pt>
                <c:pt idx="37">
                  <c:v>20</c:v>
                </c:pt>
                <c:pt idx="38">
                  <c:v>18.900000000000006</c:v>
                </c:pt>
                <c:pt idx="39">
                  <c:v>18</c:v>
                </c:pt>
                <c:pt idx="40">
                  <c:v>14</c:v>
                </c:pt>
                <c:pt idx="41">
                  <c:v>13.5</c:v>
                </c:pt>
                <c:pt idx="42">
                  <c:v>12</c:v>
                </c:pt>
                <c:pt idx="43">
                  <c:v>10.8</c:v>
                </c:pt>
                <c:pt idx="44">
                  <c:v>7.2000000000000028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34-4EF5-A89E-2E0EAEF475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6510983"/>
        <c:axId val="1256513031"/>
      </c:barChart>
      <c:catAx>
        <c:axId val="12565109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6513031"/>
        <c:crosses val="autoZero"/>
        <c:auto val="1"/>
        <c:lblAlgn val="ctr"/>
        <c:lblOffset val="100"/>
        <c:noMultiLvlLbl val="0"/>
      </c:catAx>
      <c:valAx>
        <c:axId val="1256513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65109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[Shop Sales Analysis System.xlsx]Pivot_Analysis - Week - 1!PivotTable3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Selling Product ( By Quantity 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'Pivot_Analysis - Week - 1'!$Y$4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'Pivot_Analysis - Week - 1'!$X$5:$X$50</c:f>
              <c:strCache>
                <c:ptCount val="45"/>
                <c:pt idx="0">
                  <c:v>4" Blade</c:v>
                </c:pt>
                <c:pt idx="1">
                  <c:v>PVC Hook</c:v>
                </c:pt>
                <c:pt idx="2">
                  <c:v>1" Elbow</c:v>
                </c:pt>
                <c:pt idx="3">
                  <c:v>1" Pipe</c:v>
                </c:pt>
                <c:pt idx="4">
                  <c:v>Tap</c:v>
                </c:pt>
                <c:pt idx="5">
                  <c:v>Solvent 10ml</c:v>
                </c:pt>
                <c:pt idx="6">
                  <c:v>Aree Blade</c:v>
                </c:pt>
                <c:pt idx="7">
                  <c:v>1" Coupler</c:v>
                </c:pt>
                <c:pt idx="8">
                  <c:v>M-Seal</c:v>
                </c:pt>
                <c:pt idx="9">
                  <c:v>3" Band</c:v>
                </c:pt>
                <c:pt idx="10">
                  <c:v>4" Coupler</c:v>
                </c:pt>
                <c:pt idx="11">
                  <c:v>3" Hook</c:v>
                </c:pt>
                <c:pt idx="12">
                  <c:v>4" Pipe</c:v>
                </c:pt>
                <c:pt idx="13">
                  <c:v>3" Coupler</c:v>
                </c:pt>
                <c:pt idx="14">
                  <c:v>4" Band</c:v>
                </c:pt>
                <c:pt idx="15">
                  <c:v>Solvent PVC</c:v>
                </c:pt>
                <c:pt idx="16">
                  <c:v>1/2"x12" Nepul</c:v>
                </c:pt>
                <c:pt idx="17">
                  <c:v>3" Bocket</c:v>
                </c:pt>
                <c:pt idx="18">
                  <c:v>Suta</c:v>
                </c:pt>
                <c:pt idx="19">
                  <c:v>Tank Cover</c:v>
                </c:pt>
                <c:pt idx="20">
                  <c:v>Plumber Masala</c:v>
                </c:pt>
                <c:pt idx="21">
                  <c:v>1/2" Pipe</c:v>
                </c:pt>
                <c:pt idx="22">
                  <c:v>Fan Hook</c:v>
                </c:pt>
                <c:pt idx="23">
                  <c:v>Handpump</c:v>
                </c:pt>
                <c:pt idx="24">
                  <c:v>Stand Besin</c:v>
                </c:pt>
                <c:pt idx="25">
                  <c:v>3/4"x3" Nepul</c:v>
                </c:pt>
                <c:pt idx="26">
                  <c:v>Waste Pipe</c:v>
                </c:pt>
                <c:pt idx="27">
                  <c:v>3" End Cap</c:v>
                </c:pt>
                <c:pt idx="28">
                  <c:v>Connection Pipe</c:v>
                </c:pt>
                <c:pt idx="29">
                  <c:v>Angle Cock</c:v>
                </c:pt>
                <c:pt idx="30">
                  <c:v>1" Ball Valve</c:v>
                </c:pt>
                <c:pt idx="31">
                  <c:v>White Cement</c:v>
                </c:pt>
                <c:pt idx="32">
                  <c:v>3" Tee</c:v>
                </c:pt>
                <c:pt idx="33">
                  <c:v>Solvent</c:v>
                </c:pt>
                <c:pt idx="34">
                  <c:v>3" Pipe</c:v>
                </c:pt>
                <c:pt idx="35">
                  <c:v>Long Tap</c:v>
                </c:pt>
                <c:pt idx="36">
                  <c:v>4" Tee</c:v>
                </c:pt>
                <c:pt idx="37">
                  <c:v>Flusher</c:v>
                </c:pt>
                <c:pt idx="38">
                  <c:v>1½"x6" Nepul</c:v>
                </c:pt>
                <c:pt idx="39">
                  <c:v>1½"x3/4" Rodiser</c:v>
                </c:pt>
                <c:pt idx="40">
                  <c:v>1"x4" Nepul</c:v>
                </c:pt>
                <c:pt idx="41">
                  <c:v>Shower</c:v>
                </c:pt>
                <c:pt idx="42">
                  <c:v>Loose Pipe</c:v>
                </c:pt>
                <c:pt idx="43">
                  <c:v>5" Syphan</c:v>
                </c:pt>
                <c:pt idx="44">
                  <c:v>3/4" Checkvalve</c:v>
                </c:pt>
              </c:strCache>
            </c:strRef>
          </c:cat>
          <c:val>
            <c:numRef>
              <c:f>'Pivot_Analysis - Week - 1'!$Y$5:$Y$50</c:f>
              <c:numCache>
                <c:formatCode>General</c:formatCode>
                <c:ptCount val="45"/>
                <c:pt idx="0">
                  <c:v>21</c:v>
                </c:pt>
                <c:pt idx="1">
                  <c:v>20</c:v>
                </c:pt>
                <c:pt idx="2">
                  <c:v>15</c:v>
                </c:pt>
                <c:pt idx="3">
                  <c:v>14</c:v>
                </c:pt>
                <c:pt idx="4">
                  <c:v>14</c:v>
                </c:pt>
                <c:pt idx="5">
                  <c:v>10</c:v>
                </c:pt>
                <c:pt idx="6">
                  <c:v>8</c:v>
                </c:pt>
                <c:pt idx="7">
                  <c:v>8</c:v>
                </c:pt>
                <c:pt idx="8">
                  <c:v>7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5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8B-4ED5-B6E6-26B92852D2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71723015"/>
        <c:axId val="1271725063"/>
      </c:barChart>
      <c:catAx>
        <c:axId val="12717230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1725063"/>
        <c:crosses val="autoZero"/>
        <c:auto val="1"/>
        <c:lblAlgn val="ctr"/>
        <c:lblOffset val="100"/>
        <c:noMultiLvlLbl val="0"/>
      </c:catAx>
      <c:valAx>
        <c:axId val="1271725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17230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[Shop Sales Analysis System.xlsx]Pivot_Analysis - Week -  2!PivotTable1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Profit Trend ( 10 Aug - 16 Aug 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'Pivot_Analysis - Week -  2'!$F$4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'Pivot_Analysis - Week -  2'!$E$5:$E$12</c:f>
              <c:strCache>
                <c:ptCount val="7"/>
                <c:pt idx="0">
                  <c:v>10/08/2026</c:v>
                </c:pt>
                <c:pt idx="1">
                  <c:v>11/08/2026</c:v>
                </c:pt>
                <c:pt idx="2">
                  <c:v>12/08/2026</c:v>
                </c:pt>
                <c:pt idx="3">
                  <c:v>13/08/2026</c:v>
                </c:pt>
                <c:pt idx="4">
                  <c:v>14/08/2026</c:v>
                </c:pt>
                <c:pt idx="5">
                  <c:v>15/08/2026</c:v>
                </c:pt>
                <c:pt idx="6">
                  <c:v>16/08/2026</c:v>
                </c:pt>
              </c:strCache>
            </c:strRef>
          </c:cat>
          <c:val>
            <c:numRef>
              <c:f>'Pivot_Analysis - Week -  2'!$F$5:$F$12</c:f>
              <c:numCache>
                <c:formatCode>[$₹-439]#,##0.00</c:formatCode>
                <c:ptCount val="7"/>
                <c:pt idx="0">
                  <c:v>326.2</c:v>
                </c:pt>
                <c:pt idx="1">
                  <c:v>327.8</c:v>
                </c:pt>
                <c:pt idx="2">
                  <c:v>607.79999999999995</c:v>
                </c:pt>
                <c:pt idx="3">
                  <c:v>421.00000000000006</c:v>
                </c:pt>
                <c:pt idx="4">
                  <c:v>450.3</c:v>
                </c:pt>
                <c:pt idx="5">
                  <c:v>457.5</c:v>
                </c:pt>
                <c:pt idx="6">
                  <c:v>492.8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067-4C18-BD5C-33E68AE057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49752583"/>
        <c:axId val="250328583"/>
      </c:lineChart>
      <c:catAx>
        <c:axId val="2497525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0328583"/>
        <c:crosses val="autoZero"/>
        <c:auto val="1"/>
        <c:lblAlgn val="ctr"/>
        <c:lblOffset val="100"/>
        <c:noMultiLvlLbl val="0"/>
      </c:catAx>
      <c:valAx>
        <c:axId val="250328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₹-439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9752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[Shop Sales Analysis System.xlsx]Pivot_Analysis - Week -  2!PivotTable2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Products By Profit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'Pivot_Analysis - Week -  2'!$O$4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'Pivot_Analysis - Week -  2'!$N$5:$N$55</c:f>
              <c:strCache>
                <c:ptCount val="50"/>
                <c:pt idx="0">
                  <c:v>3/4" Cancilled</c:v>
                </c:pt>
                <c:pt idx="1">
                  <c:v>4" Pipe</c:v>
                </c:pt>
                <c:pt idx="2">
                  <c:v>1" Pipe</c:v>
                </c:pt>
                <c:pt idx="3">
                  <c:v>1" Loose Pipe</c:v>
                </c:pt>
                <c:pt idx="4">
                  <c:v>3/4" Pipe</c:v>
                </c:pt>
                <c:pt idx="5">
                  <c:v>1" Ball Valve</c:v>
                </c:pt>
                <c:pt idx="6">
                  <c:v>Seat</c:v>
                </c:pt>
                <c:pt idx="7">
                  <c:v>Fan Hook</c:v>
                </c:pt>
                <c:pt idx="8">
                  <c:v>Tap</c:v>
                </c:pt>
                <c:pt idx="9">
                  <c:v>Steel Angle Cock</c:v>
                </c:pt>
                <c:pt idx="10">
                  <c:v>3/4" PVC Hook</c:v>
                </c:pt>
                <c:pt idx="11">
                  <c:v>Solvent 100ml</c:v>
                </c:pt>
                <c:pt idx="12">
                  <c:v>Steel Tap</c:v>
                </c:pt>
                <c:pt idx="13">
                  <c:v>Tank Cover</c:v>
                </c:pt>
                <c:pt idx="14">
                  <c:v>5" Blade</c:v>
                </c:pt>
                <c:pt idx="15">
                  <c:v>1/2" Check Valve</c:v>
                </c:pt>
                <c:pt idx="16">
                  <c:v>Hand Shower</c:v>
                </c:pt>
                <c:pt idx="17">
                  <c:v>1/2" Connection Pipe</c:v>
                </c:pt>
                <c:pt idx="18">
                  <c:v>3" Band</c:v>
                </c:pt>
                <c:pt idx="19">
                  <c:v>4" Blade</c:v>
                </c:pt>
                <c:pt idx="20">
                  <c:v>1" Union</c:v>
                </c:pt>
                <c:pt idx="21">
                  <c:v>1/2" Plug</c:v>
                </c:pt>
                <c:pt idx="22">
                  <c:v>3" Pipe</c:v>
                </c:pt>
                <c:pt idx="23">
                  <c:v>3/4" Elbow</c:v>
                </c:pt>
                <c:pt idx="24">
                  <c:v>5"x4" Syphan</c:v>
                </c:pt>
                <c:pt idx="25">
                  <c:v>3" Gold Plenjer</c:v>
                </c:pt>
                <c:pt idx="26">
                  <c:v>1" Elbow</c:v>
                </c:pt>
                <c:pt idx="27">
                  <c:v>Solvent 50ml</c:v>
                </c:pt>
                <c:pt idx="28">
                  <c:v>Pump Handle</c:v>
                </c:pt>
                <c:pt idx="29">
                  <c:v>3" Jali</c:v>
                </c:pt>
                <c:pt idx="30">
                  <c:v>3" Y Tee</c:v>
                </c:pt>
                <c:pt idx="31">
                  <c:v>4" Band</c:v>
                </c:pt>
                <c:pt idx="32">
                  <c:v>3/4"x1/2" B Elbow</c:v>
                </c:pt>
                <c:pt idx="33">
                  <c:v>Sypahn Baser</c:v>
                </c:pt>
                <c:pt idx="34">
                  <c:v>4" Tee</c:v>
                </c:pt>
                <c:pt idx="35">
                  <c:v>3" Half Band</c:v>
                </c:pt>
                <c:pt idx="36">
                  <c:v>1/2" B MTA</c:v>
                </c:pt>
                <c:pt idx="37">
                  <c:v>1" Clip</c:v>
                </c:pt>
                <c:pt idx="38">
                  <c:v>3/4" Union</c:v>
                </c:pt>
                <c:pt idx="39">
                  <c:v>PVC Solvent</c:v>
                </c:pt>
                <c:pt idx="40">
                  <c:v>3/4" Ball Valve</c:v>
                </c:pt>
                <c:pt idx="41">
                  <c:v>1" MTA</c:v>
                </c:pt>
                <c:pt idx="42">
                  <c:v>1" Tee</c:v>
                </c:pt>
                <c:pt idx="43">
                  <c:v>Nut Bolt</c:v>
                </c:pt>
                <c:pt idx="44">
                  <c:v>Jointer</c:v>
                </c:pt>
                <c:pt idx="45">
                  <c:v>Teplon</c:v>
                </c:pt>
                <c:pt idx="46">
                  <c:v>1"x3/4" Buss</c:v>
                </c:pt>
                <c:pt idx="47">
                  <c:v>3" Bocket</c:v>
                </c:pt>
                <c:pt idx="48">
                  <c:v>1" Coupler</c:v>
                </c:pt>
                <c:pt idx="49">
                  <c:v>Solvent 20ml</c:v>
                </c:pt>
              </c:strCache>
            </c:strRef>
          </c:cat>
          <c:val>
            <c:numRef>
              <c:f>'Pivot_Analysis - Week -  2'!$O$5:$O$55</c:f>
              <c:numCache>
                <c:formatCode>[$₹-439]#,##0.00</c:formatCode>
                <c:ptCount val="50"/>
                <c:pt idx="0">
                  <c:v>270</c:v>
                </c:pt>
                <c:pt idx="1">
                  <c:v>200</c:v>
                </c:pt>
                <c:pt idx="2">
                  <c:v>165</c:v>
                </c:pt>
                <c:pt idx="3">
                  <c:v>160</c:v>
                </c:pt>
                <c:pt idx="4">
                  <c:v>158.00000000000006</c:v>
                </c:pt>
                <c:pt idx="5">
                  <c:v>149</c:v>
                </c:pt>
                <c:pt idx="6">
                  <c:v>120</c:v>
                </c:pt>
                <c:pt idx="7">
                  <c:v>94.5</c:v>
                </c:pt>
                <c:pt idx="8">
                  <c:v>90</c:v>
                </c:pt>
                <c:pt idx="9">
                  <c:v>82</c:v>
                </c:pt>
                <c:pt idx="10">
                  <c:v>81.599999999999994</c:v>
                </c:pt>
                <c:pt idx="11">
                  <c:v>80</c:v>
                </c:pt>
                <c:pt idx="12">
                  <c:v>75</c:v>
                </c:pt>
                <c:pt idx="13">
                  <c:v>74</c:v>
                </c:pt>
                <c:pt idx="14">
                  <c:v>74</c:v>
                </c:pt>
                <c:pt idx="15">
                  <c:v>70</c:v>
                </c:pt>
                <c:pt idx="16">
                  <c:v>70</c:v>
                </c:pt>
                <c:pt idx="17">
                  <c:v>70</c:v>
                </c:pt>
                <c:pt idx="18">
                  <c:v>66</c:v>
                </c:pt>
                <c:pt idx="19">
                  <c:v>64.800000000000011</c:v>
                </c:pt>
                <c:pt idx="20">
                  <c:v>62</c:v>
                </c:pt>
                <c:pt idx="21">
                  <c:v>60</c:v>
                </c:pt>
                <c:pt idx="22">
                  <c:v>56</c:v>
                </c:pt>
                <c:pt idx="23">
                  <c:v>50</c:v>
                </c:pt>
                <c:pt idx="24">
                  <c:v>45</c:v>
                </c:pt>
                <c:pt idx="25">
                  <c:v>42</c:v>
                </c:pt>
                <c:pt idx="26">
                  <c:v>39</c:v>
                </c:pt>
                <c:pt idx="27">
                  <c:v>39</c:v>
                </c:pt>
                <c:pt idx="28">
                  <c:v>36</c:v>
                </c:pt>
                <c:pt idx="29">
                  <c:v>36</c:v>
                </c:pt>
                <c:pt idx="30">
                  <c:v>34</c:v>
                </c:pt>
                <c:pt idx="31">
                  <c:v>33</c:v>
                </c:pt>
                <c:pt idx="32">
                  <c:v>32</c:v>
                </c:pt>
                <c:pt idx="33">
                  <c:v>28</c:v>
                </c:pt>
                <c:pt idx="34">
                  <c:v>26</c:v>
                </c:pt>
                <c:pt idx="35">
                  <c:v>25</c:v>
                </c:pt>
                <c:pt idx="36">
                  <c:v>23</c:v>
                </c:pt>
                <c:pt idx="37">
                  <c:v>20</c:v>
                </c:pt>
                <c:pt idx="38">
                  <c:v>20</c:v>
                </c:pt>
                <c:pt idx="39">
                  <c:v>19</c:v>
                </c:pt>
                <c:pt idx="40">
                  <c:v>18</c:v>
                </c:pt>
                <c:pt idx="41">
                  <c:v>17</c:v>
                </c:pt>
                <c:pt idx="42">
                  <c:v>16.200000000000003</c:v>
                </c:pt>
                <c:pt idx="43">
                  <c:v>16.200000000000003</c:v>
                </c:pt>
                <c:pt idx="44">
                  <c:v>15.599999999999998</c:v>
                </c:pt>
                <c:pt idx="45">
                  <c:v>14.000000000000007</c:v>
                </c:pt>
                <c:pt idx="46">
                  <c:v>14</c:v>
                </c:pt>
                <c:pt idx="47">
                  <c:v>12.5</c:v>
                </c:pt>
                <c:pt idx="48">
                  <c:v>12</c:v>
                </c:pt>
                <c:pt idx="49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0AC-446A-805B-96CA261D69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22945544"/>
        <c:axId val="979490312"/>
      </c:barChart>
      <c:catAx>
        <c:axId val="922945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9490312"/>
        <c:crosses val="autoZero"/>
        <c:auto val="1"/>
        <c:lblAlgn val="ctr"/>
        <c:lblOffset val="100"/>
        <c:noMultiLvlLbl val="0"/>
      </c:catAx>
      <c:valAx>
        <c:axId val="979490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₹-439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2945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[Shop Sales Analysis System.xlsx]Pivot_Analysis - Week -  2!PivotTable3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Selling Product ( By Quantity 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'Pivot_Analysis - Week -  2'!$Z$4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'Pivot_Analysis - Week -  2'!$Y$5:$Y$55</c:f>
              <c:strCache>
                <c:ptCount val="50"/>
                <c:pt idx="0">
                  <c:v>3/4" PVC Hook</c:v>
                </c:pt>
                <c:pt idx="1">
                  <c:v>3/4" Elbow</c:v>
                </c:pt>
                <c:pt idx="2">
                  <c:v>1/2" Plug</c:v>
                </c:pt>
                <c:pt idx="3">
                  <c:v>Teplon</c:v>
                </c:pt>
                <c:pt idx="4">
                  <c:v>4" Blade</c:v>
                </c:pt>
                <c:pt idx="5">
                  <c:v>3/4" Pipe</c:v>
                </c:pt>
                <c:pt idx="6">
                  <c:v>1" Pipe</c:v>
                </c:pt>
                <c:pt idx="7">
                  <c:v>Fan Hook</c:v>
                </c:pt>
                <c:pt idx="8">
                  <c:v>4" Pipe</c:v>
                </c:pt>
                <c:pt idx="9">
                  <c:v>3" Band</c:v>
                </c:pt>
                <c:pt idx="10">
                  <c:v>1" Elbow</c:v>
                </c:pt>
                <c:pt idx="11">
                  <c:v>Nut Bolt</c:v>
                </c:pt>
                <c:pt idx="12">
                  <c:v>1" Clip</c:v>
                </c:pt>
                <c:pt idx="13">
                  <c:v>Tap</c:v>
                </c:pt>
                <c:pt idx="14">
                  <c:v>1" Coupler</c:v>
                </c:pt>
                <c:pt idx="15">
                  <c:v>1" Ball Valve</c:v>
                </c:pt>
                <c:pt idx="16">
                  <c:v>3/4"x1/2" B Elbow</c:v>
                </c:pt>
                <c:pt idx="17">
                  <c:v>1" Union</c:v>
                </c:pt>
                <c:pt idx="18">
                  <c:v>4" Band</c:v>
                </c:pt>
                <c:pt idx="19">
                  <c:v>Jointer</c:v>
                </c:pt>
                <c:pt idx="20">
                  <c:v>3/4" Cancilled</c:v>
                </c:pt>
                <c:pt idx="21">
                  <c:v>Steel Tap</c:v>
                </c:pt>
                <c:pt idx="22">
                  <c:v>3" Half Band</c:v>
                </c:pt>
                <c:pt idx="23">
                  <c:v>Solvent 50ml</c:v>
                </c:pt>
                <c:pt idx="24">
                  <c:v>3" Jali</c:v>
                </c:pt>
                <c:pt idx="25">
                  <c:v>1/2" B MTA</c:v>
                </c:pt>
                <c:pt idx="26">
                  <c:v>1" MTA</c:v>
                </c:pt>
                <c:pt idx="27">
                  <c:v>3/4" Union</c:v>
                </c:pt>
                <c:pt idx="28">
                  <c:v>3" Y Tee</c:v>
                </c:pt>
                <c:pt idx="29">
                  <c:v>Steel Angle Cock</c:v>
                </c:pt>
                <c:pt idx="30">
                  <c:v>Solvent 100ml</c:v>
                </c:pt>
                <c:pt idx="31">
                  <c:v>3" Pipe</c:v>
                </c:pt>
                <c:pt idx="32">
                  <c:v>1"x3/4" Buss</c:v>
                </c:pt>
                <c:pt idx="33">
                  <c:v>1" Tee</c:v>
                </c:pt>
                <c:pt idx="34">
                  <c:v>1/2" Connection Pipe</c:v>
                </c:pt>
                <c:pt idx="35">
                  <c:v>5" Blade</c:v>
                </c:pt>
                <c:pt idx="36">
                  <c:v>1" Loose Pipe</c:v>
                </c:pt>
                <c:pt idx="37">
                  <c:v>Tank Cover</c:v>
                </c:pt>
                <c:pt idx="38">
                  <c:v>Hand Shower</c:v>
                </c:pt>
                <c:pt idx="39">
                  <c:v>3" Bocket</c:v>
                </c:pt>
                <c:pt idx="40">
                  <c:v>4" Tee</c:v>
                </c:pt>
                <c:pt idx="41">
                  <c:v>Pump Handle</c:v>
                </c:pt>
                <c:pt idx="42">
                  <c:v>1/2" Check Valve</c:v>
                </c:pt>
                <c:pt idx="43">
                  <c:v>PVC Solvent</c:v>
                </c:pt>
                <c:pt idx="44">
                  <c:v>Sypahn Baser</c:v>
                </c:pt>
                <c:pt idx="45">
                  <c:v>Seat</c:v>
                </c:pt>
                <c:pt idx="46">
                  <c:v>3" Gold Plenjer</c:v>
                </c:pt>
                <c:pt idx="47">
                  <c:v>3/4" Ball Valve</c:v>
                </c:pt>
                <c:pt idx="48">
                  <c:v>Solvent 20ml</c:v>
                </c:pt>
                <c:pt idx="49">
                  <c:v>5"x4" Syphan</c:v>
                </c:pt>
              </c:strCache>
            </c:strRef>
          </c:cat>
          <c:val>
            <c:numRef>
              <c:f>'Pivot_Analysis - Week -  2'!$Z$5:$Z$55</c:f>
              <c:numCache>
                <c:formatCode>General</c:formatCode>
                <c:ptCount val="50"/>
                <c:pt idx="0">
                  <c:v>39</c:v>
                </c:pt>
                <c:pt idx="1">
                  <c:v>23</c:v>
                </c:pt>
                <c:pt idx="2">
                  <c:v>20</c:v>
                </c:pt>
                <c:pt idx="3">
                  <c:v>16</c:v>
                </c:pt>
                <c:pt idx="4">
                  <c:v>12</c:v>
                </c:pt>
                <c:pt idx="5">
                  <c:v>10</c:v>
                </c:pt>
                <c:pt idx="6">
                  <c:v>7</c:v>
                </c:pt>
                <c:pt idx="7">
                  <c:v>7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5</c:v>
                </c:pt>
                <c:pt idx="13">
                  <c:v>5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51-471D-B8E7-08EE0F155F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85382408"/>
        <c:axId val="985384456"/>
      </c:barChart>
      <c:catAx>
        <c:axId val="985382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5384456"/>
        <c:crosses val="autoZero"/>
        <c:auto val="1"/>
        <c:lblAlgn val="ctr"/>
        <c:lblOffset val="100"/>
        <c:noMultiLvlLbl val="0"/>
      </c:catAx>
      <c:valAx>
        <c:axId val="985384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53824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Profit Trend ( 03 Aug - 09 Aug 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v>Total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Lit>
              <c:ptCount val="7"/>
              <c:pt idx="0">
                <c:v>03/08/2026</c:v>
              </c:pt>
              <c:pt idx="1">
                <c:v>04/08/2026</c:v>
              </c:pt>
              <c:pt idx="2">
                <c:v>05/08/2026</c:v>
              </c:pt>
              <c:pt idx="3">
                <c:v>06/08/2026</c:v>
              </c:pt>
              <c:pt idx="4">
                <c:v>07/08/2026</c:v>
              </c:pt>
              <c:pt idx="5">
                <c:v>08/08/2026</c:v>
              </c:pt>
              <c:pt idx="6">
                <c:v>09/08/2026</c:v>
              </c:pt>
            </c:strLit>
          </c:cat>
          <c:val>
            <c:numLit>
              <c:formatCode>General</c:formatCode>
              <c:ptCount val="7"/>
              <c:pt idx="0">
                <c:v>562.20000000000005</c:v>
              </c:pt>
              <c:pt idx="1">
                <c:v>683</c:v>
              </c:pt>
              <c:pt idx="2">
                <c:v>272</c:v>
              </c:pt>
              <c:pt idx="3">
                <c:v>558</c:v>
              </c:pt>
              <c:pt idx="4">
                <c:v>601.5</c:v>
              </c:pt>
              <c:pt idx="5">
                <c:v>399.4</c:v>
              </c:pt>
              <c:pt idx="6">
                <c:v>564.29999999999995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8FA6-4103-9490-325B30D107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2233736"/>
        <c:axId val="931352584"/>
      </c:lineChart>
      <c:catAx>
        <c:axId val="93223373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1352584"/>
        <c:crosses val="autoZero"/>
        <c:auto val="1"/>
        <c:lblAlgn val="ctr"/>
        <c:lblOffset val="100"/>
        <c:noMultiLvlLbl val="0"/>
      </c:catAx>
      <c:valAx>
        <c:axId val="931352584"/>
        <c:scaling>
          <c:orientation val="minMax"/>
          <c:max val="1000"/>
          <c:min val="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2233736"/>
        <c:crosses val="autoZero"/>
        <c:crossBetween val="between"/>
        <c:majorUnit val="200"/>
        <c:minorUnit val="20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Products By Profit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45"/>
              <c:pt idx="0">
                <c:v>Handpump</c:v>
              </c:pt>
              <c:pt idx="1">
                <c:v>Tank Cover</c:v>
              </c:pt>
              <c:pt idx="2">
                <c:v>Stand Besin</c:v>
              </c:pt>
              <c:pt idx="3">
                <c:v>1" Pipe</c:v>
              </c:pt>
              <c:pt idx="4">
                <c:v>Flusher</c:v>
              </c:pt>
              <c:pt idx="5">
                <c:v>4" Pipe</c:v>
              </c:pt>
              <c:pt idx="6">
                <c:v>Tap</c:v>
              </c:pt>
              <c:pt idx="7">
                <c:v>Loose Pipe</c:v>
              </c:pt>
              <c:pt idx="8">
                <c:v>1" Elbow</c:v>
              </c:pt>
              <c:pt idx="9">
                <c:v>1/2"x12" Nepul</c:v>
              </c:pt>
              <c:pt idx="10">
                <c:v>Connection Pipe</c:v>
              </c:pt>
              <c:pt idx="11">
                <c:v>4" Band</c:v>
              </c:pt>
              <c:pt idx="12">
                <c:v>Solvent</c:v>
              </c:pt>
              <c:pt idx="13">
                <c:v>Long Tap</c:v>
              </c:pt>
              <c:pt idx="14">
                <c:v>4" Coupler</c:v>
              </c:pt>
              <c:pt idx="15">
                <c:v>Shower</c:v>
              </c:pt>
              <c:pt idx="16">
                <c:v>3/4" Checkvalve</c:v>
              </c:pt>
              <c:pt idx="17">
                <c:v>3" Pipe</c:v>
              </c:pt>
              <c:pt idx="18">
                <c:v>Solvent 10ml</c:v>
              </c:pt>
              <c:pt idx="19">
                <c:v>3" Coupler</c:v>
              </c:pt>
              <c:pt idx="20">
                <c:v>1/2" Pipe</c:v>
              </c:pt>
              <c:pt idx="21">
                <c:v>1" Ball Valve</c:v>
              </c:pt>
              <c:pt idx="22">
                <c:v>3" Band</c:v>
              </c:pt>
              <c:pt idx="23">
                <c:v>PVC Hook</c:v>
              </c:pt>
              <c:pt idx="24">
                <c:v>Angle Cock</c:v>
              </c:pt>
              <c:pt idx="25">
                <c:v>1½"x3/4" Rodiser</c:v>
              </c:pt>
              <c:pt idx="26">
                <c:v>5" Syphan</c:v>
              </c:pt>
              <c:pt idx="27">
                <c:v>Waste Pipe</c:v>
              </c:pt>
              <c:pt idx="28">
                <c:v>1½"x6" Nepul</c:v>
              </c:pt>
              <c:pt idx="29">
                <c:v>3" Tee</c:v>
              </c:pt>
              <c:pt idx="30">
                <c:v>3" End Cap</c:v>
              </c:pt>
              <c:pt idx="31">
                <c:v>Fan Hook</c:v>
              </c:pt>
              <c:pt idx="32">
                <c:v>4" Tee</c:v>
              </c:pt>
              <c:pt idx="33">
                <c:v>Solvent PVC</c:v>
              </c:pt>
              <c:pt idx="34">
                <c:v>White Cement</c:v>
              </c:pt>
              <c:pt idx="35">
                <c:v>1" Coupler</c:v>
              </c:pt>
              <c:pt idx="36">
                <c:v>3" Hook</c:v>
              </c:pt>
              <c:pt idx="37">
                <c:v>1"x4" Nepul</c:v>
              </c:pt>
              <c:pt idx="38">
                <c:v>4" Blade</c:v>
              </c:pt>
              <c:pt idx="39">
                <c:v>3/4"x3" Nepul</c:v>
              </c:pt>
              <c:pt idx="40">
                <c:v>M-Seal</c:v>
              </c:pt>
              <c:pt idx="41">
                <c:v>Plumber Masala</c:v>
              </c:pt>
              <c:pt idx="42">
                <c:v>3" Bocket</c:v>
              </c:pt>
              <c:pt idx="43">
                <c:v>Suta</c:v>
              </c:pt>
              <c:pt idx="44">
                <c:v>Aree Blade</c:v>
              </c:pt>
            </c:strLit>
          </c:cat>
          <c:val>
            <c:numLit>
              <c:formatCode>General</c:formatCode>
              <c:ptCount val="45"/>
              <c:pt idx="0">
                <c:v>470</c:v>
              </c:pt>
              <c:pt idx="1">
                <c:v>380</c:v>
              </c:pt>
              <c:pt idx="2">
                <c:v>256</c:v>
              </c:pt>
              <c:pt idx="3">
                <c:v>238</c:v>
              </c:pt>
              <c:pt idx="4">
                <c:v>220</c:v>
              </c:pt>
              <c:pt idx="5">
                <c:v>162</c:v>
              </c:pt>
              <c:pt idx="6">
                <c:v>126</c:v>
              </c:pt>
              <c:pt idx="7">
                <c:v>120</c:v>
              </c:pt>
              <c:pt idx="8">
                <c:v>97.5</c:v>
              </c:pt>
              <c:pt idx="9">
                <c:v>96</c:v>
              </c:pt>
              <c:pt idx="10">
                <c:v>94</c:v>
              </c:pt>
              <c:pt idx="11">
                <c:v>84</c:v>
              </c:pt>
              <c:pt idx="12">
                <c:v>76</c:v>
              </c:pt>
              <c:pt idx="13">
                <c:v>74</c:v>
              </c:pt>
              <c:pt idx="14">
                <c:v>72</c:v>
              </c:pt>
              <c:pt idx="15">
                <c:v>70</c:v>
              </c:pt>
              <c:pt idx="16">
                <c:v>70</c:v>
              </c:pt>
              <c:pt idx="17">
                <c:v>66</c:v>
              </c:pt>
              <c:pt idx="18">
                <c:v>64</c:v>
              </c:pt>
              <c:pt idx="19">
                <c:v>55</c:v>
              </c:pt>
              <c:pt idx="20">
                <c:v>54</c:v>
              </c:pt>
              <c:pt idx="21">
                <c:v>52</c:v>
              </c:pt>
              <c:pt idx="22">
                <c:v>48</c:v>
              </c:pt>
              <c:pt idx="23">
                <c:v>48</c:v>
              </c:pt>
              <c:pt idx="24">
                <c:v>48</c:v>
              </c:pt>
              <c:pt idx="25">
                <c:v>43</c:v>
              </c:pt>
              <c:pt idx="26">
                <c:v>40</c:v>
              </c:pt>
              <c:pt idx="27">
                <c:v>38</c:v>
              </c:pt>
              <c:pt idx="28">
                <c:v>36</c:v>
              </c:pt>
              <c:pt idx="29">
                <c:v>36</c:v>
              </c:pt>
              <c:pt idx="30">
                <c:v>32</c:v>
              </c:pt>
              <c:pt idx="31">
                <c:v>31.5</c:v>
              </c:pt>
              <c:pt idx="32">
                <c:v>30</c:v>
              </c:pt>
              <c:pt idx="33">
                <c:v>28</c:v>
              </c:pt>
              <c:pt idx="34">
                <c:v>26</c:v>
              </c:pt>
              <c:pt idx="35">
                <c:v>24</c:v>
              </c:pt>
              <c:pt idx="36">
                <c:v>21</c:v>
              </c:pt>
              <c:pt idx="37">
                <c:v>20</c:v>
              </c:pt>
              <c:pt idx="38">
                <c:v>18.900000000000006</c:v>
              </c:pt>
              <c:pt idx="39">
                <c:v>18</c:v>
              </c:pt>
              <c:pt idx="40">
                <c:v>14</c:v>
              </c:pt>
              <c:pt idx="41">
                <c:v>13.5</c:v>
              </c:pt>
              <c:pt idx="42">
                <c:v>12</c:v>
              </c:pt>
              <c:pt idx="43">
                <c:v>10.8</c:v>
              </c:pt>
              <c:pt idx="44">
                <c:v>7.2000000000000028</c:v>
              </c:pt>
            </c:numLit>
          </c:val>
          <c:extLst>
            <c:ext xmlns:c16="http://schemas.microsoft.com/office/drawing/2014/chart" uri="{C3380CC4-5D6E-409C-BE32-E72D297353CC}">
              <c16:uniqueId val="{00000000-C83F-4341-9F86-94887507B1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68874247"/>
        <c:axId val="2068876295"/>
      </c:barChart>
      <c:catAx>
        <c:axId val="206887424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8876295"/>
        <c:crosses val="autoZero"/>
        <c:auto val="1"/>
        <c:lblAlgn val="ctr"/>
        <c:lblOffset val="100"/>
        <c:noMultiLvlLbl val="0"/>
      </c:catAx>
      <c:valAx>
        <c:axId val="2068876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88742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Selling Product ( By Quantity 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45"/>
              <c:pt idx="0">
                <c:v>4" Blade</c:v>
              </c:pt>
              <c:pt idx="1">
                <c:v>PVC Hook</c:v>
              </c:pt>
              <c:pt idx="2">
                <c:v>1" Elbow</c:v>
              </c:pt>
              <c:pt idx="3">
                <c:v>1" Pipe</c:v>
              </c:pt>
              <c:pt idx="4">
                <c:v>Tap</c:v>
              </c:pt>
              <c:pt idx="5">
                <c:v>Solvent 10ml</c:v>
              </c:pt>
              <c:pt idx="6">
                <c:v>Aree Blade</c:v>
              </c:pt>
              <c:pt idx="7">
                <c:v>1" Coupler</c:v>
              </c:pt>
              <c:pt idx="8">
                <c:v>M-Seal</c:v>
              </c:pt>
              <c:pt idx="9">
                <c:v>3" Band</c:v>
              </c:pt>
              <c:pt idx="10">
                <c:v>4" Coupler</c:v>
              </c:pt>
              <c:pt idx="11">
                <c:v>3" Hook</c:v>
              </c:pt>
              <c:pt idx="12">
                <c:v>4" Pipe</c:v>
              </c:pt>
              <c:pt idx="13">
                <c:v>3" Coupler</c:v>
              </c:pt>
              <c:pt idx="14">
                <c:v>4" Band</c:v>
              </c:pt>
              <c:pt idx="15">
                <c:v>Solvent PVC</c:v>
              </c:pt>
              <c:pt idx="16">
                <c:v>1/2"x12" Nepul</c:v>
              </c:pt>
              <c:pt idx="17">
                <c:v>3" Bocket</c:v>
              </c:pt>
              <c:pt idx="18">
                <c:v>Suta</c:v>
              </c:pt>
              <c:pt idx="19">
                <c:v>Tank Cover</c:v>
              </c:pt>
              <c:pt idx="20">
                <c:v>Plumber Masala</c:v>
              </c:pt>
              <c:pt idx="21">
                <c:v>1/2" Pipe</c:v>
              </c:pt>
              <c:pt idx="22">
                <c:v>Fan Hook</c:v>
              </c:pt>
              <c:pt idx="23">
                <c:v>Handpump</c:v>
              </c:pt>
              <c:pt idx="24">
                <c:v>Stand Besin</c:v>
              </c:pt>
              <c:pt idx="25">
                <c:v>3/4"x3" Nepul</c:v>
              </c:pt>
              <c:pt idx="26">
                <c:v>Waste Pipe</c:v>
              </c:pt>
              <c:pt idx="27">
                <c:v>3" End Cap</c:v>
              </c:pt>
              <c:pt idx="28">
                <c:v>Connection Pipe</c:v>
              </c:pt>
              <c:pt idx="29">
                <c:v>Angle Cock</c:v>
              </c:pt>
              <c:pt idx="30">
                <c:v>1" Ball Valve</c:v>
              </c:pt>
              <c:pt idx="31">
                <c:v>White Cement</c:v>
              </c:pt>
              <c:pt idx="32">
                <c:v>3" Tee</c:v>
              </c:pt>
              <c:pt idx="33">
                <c:v>Solvent</c:v>
              </c:pt>
              <c:pt idx="34">
                <c:v>3" Pipe</c:v>
              </c:pt>
              <c:pt idx="35">
                <c:v>Long Tap</c:v>
              </c:pt>
              <c:pt idx="36">
                <c:v>4" Tee</c:v>
              </c:pt>
              <c:pt idx="37">
                <c:v>Flusher</c:v>
              </c:pt>
              <c:pt idx="38">
                <c:v>1½"x6" Nepul</c:v>
              </c:pt>
              <c:pt idx="39">
                <c:v>1½"x3/4" Rodiser</c:v>
              </c:pt>
              <c:pt idx="40">
                <c:v>1"x4" Nepul</c:v>
              </c:pt>
              <c:pt idx="41">
                <c:v>Shower</c:v>
              </c:pt>
              <c:pt idx="42">
                <c:v>Loose Pipe</c:v>
              </c:pt>
              <c:pt idx="43">
                <c:v>5" Syphan</c:v>
              </c:pt>
              <c:pt idx="44">
                <c:v>3/4" Checkvalve</c:v>
              </c:pt>
            </c:strLit>
          </c:cat>
          <c:val>
            <c:numLit>
              <c:formatCode>General</c:formatCode>
              <c:ptCount val="45"/>
              <c:pt idx="0">
                <c:v>21</c:v>
              </c:pt>
              <c:pt idx="1">
                <c:v>20</c:v>
              </c:pt>
              <c:pt idx="2">
                <c:v>15</c:v>
              </c:pt>
              <c:pt idx="3">
                <c:v>14</c:v>
              </c:pt>
              <c:pt idx="4">
                <c:v>14</c:v>
              </c:pt>
              <c:pt idx="5">
                <c:v>10</c:v>
              </c:pt>
              <c:pt idx="6">
                <c:v>8</c:v>
              </c:pt>
              <c:pt idx="7">
                <c:v>8</c:v>
              </c:pt>
              <c:pt idx="8">
                <c:v>7</c:v>
              </c:pt>
              <c:pt idx="9">
                <c:v>6</c:v>
              </c:pt>
              <c:pt idx="10">
                <c:v>6</c:v>
              </c:pt>
              <c:pt idx="11">
                <c:v>6</c:v>
              </c:pt>
              <c:pt idx="12">
                <c:v>6</c:v>
              </c:pt>
              <c:pt idx="13">
                <c:v>5</c:v>
              </c:pt>
              <c:pt idx="14">
                <c:v>4</c:v>
              </c:pt>
              <c:pt idx="15">
                <c:v>4</c:v>
              </c:pt>
              <c:pt idx="16">
                <c:v>4</c:v>
              </c:pt>
              <c:pt idx="17">
                <c:v>4</c:v>
              </c:pt>
              <c:pt idx="18">
                <c:v>4</c:v>
              </c:pt>
              <c:pt idx="19">
                <c:v>4</c:v>
              </c:pt>
              <c:pt idx="20">
                <c:v>3</c:v>
              </c:pt>
              <c:pt idx="21">
                <c:v>3</c:v>
              </c:pt>
              <c:pt idx="22">
                <c:v>3</c:v>
              </c:pt>
              <c:pt idx="23">
                <c:v>3</c:v>
              </c:pt>
              <c:pt idx="24">
                <c:v>2</c:v>
              </c:pt>
              <c:pt idx="25">
                <c:v>2</c:v>
              </c:pt>
              <c:pt idx="26">
                <c:v>2</c:v>
              </c:pt>
              <c:pt idx="27">
                <c:v>2</c:v>
              </c:pt>
              <c:pt idx="28">
                <c:v>2</c:v>
              </c:pt>
              <c:pt idx="29">
                <c:v>2</c:v>
              </c:pt>
              <c:pt idx="30">
                <c:v>2</c:v>
              </c:pt>
              <c:pt idx="31">
                <c:v>2</c:v>
              </c:pt>
              <c:pt idx="32">
                <c:v>2</c:v>
              </c:pt>
              <c:pt idx="33">
                <c:v>2</c:v>
              </c:pt>
              <c:pt idx="34">
                <c:v>2</c:v>
              </c:pt>
              <c:pt idx="35">
                <c:v>2</c:v>
              </c:pt>
              <c:pt idx="36">
                <c:v>2</c:v>
              </c:pt>
              <c:pt idx="37">
                <c:v>1</c:v>
              </c:pt>
              <c:pt idx="38">
                <c:v>1</c:v>
              </c:pt>
              <c:pt idx="39">
                <c:v>1</c:v>
              </c:pt>
              <c:pt idx="40">
                <c:v>1</c:v>
              </c:pt>
              <c:pt idx="41">
                <c:v>1</c:v>
              </c:pt>
              <c:pt idx="42">
                <c:v>1</c:v>
              </c:pt>
              <c:pt idx="43">
                <c:v>1</c:v>
              </c:pt>
              <c:pt idx="44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0-D202-4156-BA9B-30D9F6AC45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03614215"/>
        <c:axId val="1403616263"/>
      </c:barChart>
      <c:catAx>
        <c:axId val="140361421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3616263"/>
        <c:crosses val="autoZero"/>
        <c:auto val="1"/>
        <c:lblAlgn val="ctr"/>
        <c:lblOffset val="100"/>
        <c:noMultiLvlLbl val="0"/>
      </c:catAx>
      <c:valAx>
        <c:axId val="1403616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36142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[Shop Sales Analysis System.xlsx]Pivot_Analysis - Week -  2!PivotTable1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Profit Trend ( 10 Aug - 16 Aug 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'Pivot_Analysis - Week -  2'!$F$4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'Pivot_Analysis - Week -  2'!$E$5:$E$12</c:f>
              <c:strCache>
                <c:ptCount val="7"/>
                <c:pt idx="0">
                  <c:v>10/08/2026</c:v>
                </c:pt>
                <c:pt idx="1">
                  <c:v>11/08/2026</c:v>
                </c:pt>
                <c:pt idx="2">
                  <c:v>12/08/2026</c:v>
                </c:pt>
                <c:pt idx="3">
                  <c:v>13/08/2026</c:v>
                </c:pt>
                <c:pt idx="4">
                  <c:v>14/08/2026</c:v>
                </c:pt>
                <c:pt idx="5">
                  <c:v>15/08/2026</c:v>
                </c:pt>
                <c:pt idx="6">
                  <c:v>16/08/2026</c:v>
                </c:pt>
              </c:strCache>
            </c:strRef>
          </c:cat>
          <c:val>
            <c:numRef>
              <c:f>'Pivot_Analysis - Week -  2'!$F$5:$F$12</c:f>
              <c:numCache>
                <c:formatCode>[$₹-439]#,##0.00</c:formatCode>
                <c:ptCount val="7"/>
                <c:pt idx="0">
                  <c:v>326.2</c:v>
                </c:pt>
                <c:pt idx="1">
                  <c:v>327.8</c:v>
                </c:pt>
                <c:pt idx="2">
                  <c:v>607.79999999999995</c:v>
                </c:pt>
                <c:pt idx="3">
                  <c:v>421.00000000000006</c:v>
                </c:pt>
                <c:pt idx="4">
                  <c:v>450.3</c:v>
                </c:pt>
                <c:pt idx="5">
                  <c:v>457.5</c:v>
                </c:pt>
                <c:pt idx="6">
                  <c:v>492.8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AD8-4E95-B176-B61E4FAFF5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49752583"/>
        <c:axId val="250328583"/>
      </c:lineChart>
      <c:catAx>
        <c:axId val="2497525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0328583"/>
        <c:crosses val="autoZero"/>
        <c:auto val="1"/>
        <c:lblAlgn val="ctr"/>
        <c:lblOffset val="100"/>
        <c:noMultiLvlLbl val="0"/>
      </c:catAx>
      <c:valAx>
        <c:axId val="250328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₹-439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9752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[Shop Sales Analysis System.xlsx]Pivot_Analysis - Week -  2!PivotTable2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Products By Profit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'Pivot_Analysis - Week -  2'!$O$4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'Pivot_Analysis - Week -  2'!$N$5:$N$55</c:f>
              <c:strCache>
                <c:ptCount val="50"/>
                <c:pt idx="0">
                  <c:v>3/4" Cancilled</c:v>
                </c:pt>
                <c:pt idx="1">
                  <c:v>4" Pipe</c:v>
                </c:pt>
                <c:pt idx="2">
                  <c:v>1" Pipe</c:v>
                </c:pt>
                <c:pt idx="3">
                  <c:v>1" Loose Pipe</c:v>
                </c:pt>
                <c:pt idx="4">
                  <c:v>3/4" Pipe</c:v>
                </c:pt>
                <c:pt idx="5">
                  <c:v>1" Ball Valve</c:v>
                </c:pt>
                <c:pt idx="6">
                  <c:v>Seat</c:v>
                </c:pt>
                <c:pt idx="7">
                  <c:v>Fan Hook</c:v>
                </c:pt>
                <c:pt idx="8">
                  <c:v>Tap</c:v>
                </c:pt>
                <c:pt idx="9">
                  <c:v>Steel Angle Cock</c:v>
                </c:pt>
                <c:pt idx="10">
                  <c:v>3/4" PVC Hook</c:v>
                </c:pt>
                <c:pt idx="11">
                  <c:v>Solvent 100ml</c:v>
                </c:pt>
                <c:pt idx="12">
                  <c:v>Steel Tap</c:v>
                </c:pt>
                <c:pt idx="13">
                  <c:v>Tank Cover</c:v>
                </c:pt>
                <c:pt idx="14">
                  <c:v>5" Blade</c:v>
                </c:pt>
                <c:pt idx="15">
                  <c:v>1/2" Check Valve</c:v>
                </c:pt>
                <c:pt idx="16">
                  <c:v>Hand Shower</c:v>
                </c:pt>
                <c:pt idx="17">
                  <c:v>1/2" Connection Pipe</c:v>
                </c:pt>
                <c:pt idx="18">
                  <c:v>3" Band</c:v>
                </c:pt>
                <c:pt idx="19">
                  <c:v>4" Blade</c:v>
                </c:pt>
                <c:pt idx="20">
                  <c:v>1" Union</c:v>
                </c:pt>
                <c:pt idx="21">
                  <c:v>1/2" Plug</c:v>
                </c:pt>
                <c:pt idx="22">
                  <c:v>3" Pipe</c:v>
                </c:pt>
                <c:pt idx="23">
                  <c:v>3/4" Elbow</c:v>
                </c:pt>
                <c:pt idx="24">
                  <c:v>5"x4" Syphan</c:v>
                </c:pt>
                <c:pt idx="25">
                  <c:v>3" Gold Plenjer</c:v>
                </c:pt>
                <c:pt idx="26">
                  <c:v>1" Elbow</c:v>
                </c:pt>
                <c:pt idx="27">
                  <c:v>Solvent 50ml</c:v>
                </c:pt>
                <c:pt idx="28">
                  <c:v>Pump Handle</c:v>
                </c:pt>
                <c:pt idx="29">
                  <c:v>3" Jali</c:v>
                </c:pt>
                <c:pt idx="30">
                  <c:v>3" Y Tee</c:v>
                </c:pt>
                <c:pt idx="31">
                  <c:v>4" Band</c:v>
                </c:pt>
                <c:pt idx="32">
                  <c:v>3/4"x1/2" B Elbow</c:v>
                </c:pt>
                <c:pt idx="33">
                  <c:v>Sypahn Baser</c:v>
                </c:pt>
                <c:pt idx="34">
                  <c:v>4" Tee</c:v>
                </c:pt>
                <c:pt idx="35">
                  <c:v>3" Half Band</c:v>
                </c:pt>
                <c:pt idx="36">
                  <c:v>1/2" B MTA</c:v>
                </c:pt>
                <c:pt idx="37">
                  <c:v>1" Clip</c:v>
                </c:pt>
                <c:pt idx="38">
                  <c:v>3/4" Union</c:v>
                </c:pt>
                <c:pt idx="39">
                  <c:v>PVC Solvent</c:v>
                </c:pt>
                <c:pt idx="40">
                  <c:v>3/4" Ball Valve</c:v>
                </c:pt>
                <c:pt idx="41">
                  <c:v>1" MTA</c:v>
                </c:pt>
                <c:pt idx="42">
                  <c:v>1" Tee</c:v>
                </c:pt>
                <c:pt idx="43">
                  <c:v>Nut Bolt</c:v>
                </c:pt>
                <c:pt idx="44">
                  <c:v>Jointer</c:v>
                </c:pt>
                <c:pt idx="45">
                  <c:v>Teplon</c:v>
                </c:pt>
                <c:pt idx="46">
                  <c:v>1"x3/4" Buss</c:v>
                </c:pt>
                <c:pt idx="47">
                  <c:v>3" Bocket</c:v>
                </c:pt>
                <c:pt idx="48">
                  <c:v>1" Coupler</c:v>
                </c:pt>
                <c:pt idx="49">
                  <c:v>Solvent 20ml</c:v>
                </c:pt>
              </c:strCache>
            </c:strRef>
          </c:cat>
          <c:val>
            <c:numRef>
              <c:f>'Pivot_Analysis - Week -  2'!$O$5:$O$55</c:f>
              <c:numCache>
                <c:formatCode>[$₹-439]#,##0.00</c:formatCode>
                <c:ptCount val="50"/>
                <c:pt idx="0">
                  <c:v>270</c:v>
                </c:pt>
                <c:pt idx="1">
                  <c:v>200</c:v>
                </c:pt>
                <c:pt idx="2">
                  <c:v>165</c:v>
                </c:pt>
                <c:pt idx="3">
                  <c:v>160</c:v>
                </c:pt>
                <c:pt idx="4">
                  <c:v>158.00000000000006</c:v>
                </c:pt>
                <c:pt idx="5">
                  <c:v>149</c:v>
                </c:pt>
                <c:pt idx="6">
                  <c:v>120</c:v>
                </c:pt>
                <c:pt idx="7">
                  <c:v>94.5</c:v>
                </c:pt>
                <c:pt idx="8">
                  <c:v>90</c:v>
                </c:pt>
                <c:pt idx="9">
                  <c:v>82</c:v>
                </c:pt>
                <c:pt idx="10">
                  <c:v>81.599999999999994</c:v>
                </c:pt>
                <c:pt idx="11">
                  <c:v>80</c:v>
                </c:pt>
                <c:pt idx="12">
                  <c:v>75</c:v>
                </c:pt>
                <c:pt idx="13">
                  <c:v>74</c:v>
                </c:pt>
                <c:pt idx="14">
                  <c:v>74</c:v>
                </c:pt>
                <c:pt idx="15">
                  <c:v>70</c:v>
                </c:pt>
                <c:pt idx="16">
                  <c:v>70</c:v>
                </c:pt>
                <c:pt idx="17">
                  <c:v>70</c:v>
                </c:pt>
                <c:pt idx="18">
                  <c:v>66</c:v>
                </c:pt>
                <c:pt idx="19">
                  <c:v>64.800000000000011</c:v>
                </c:pt>
                <c:pt idx="20">
                  <c:v>62</c:v>
                </c:pt>
                <c:pt idx="21">
                  <c:v>60</c:v>
                </c:pt>
                <c:pt idx="22">
                  <c:v>56</c:v>
                </c:pt>
                <c:pt idx="23">
                  <c:v>50</c:v>
                </c:pt>
                <c:pt idx="24">
                  <c:v>45</c:v>
                </c:pt>
                <c:pt idx="25">
                  <c:v>42</c:v>
                </c:pt>
                <c:pt idx="26">
                  <c:v>39</c:v>
                </c:pt>
                <c:pt idx="27">
                  <c:v>39</c:v>
                </c:pt>
                <c:pt idx="28">
                  <c:v>36</c:v>
                </c:pt>
                <c:pt idx="29">
                  <c:v>36</c:v>
                </c:pt>
                <c:pt idx="30">
                  <c:v>34</c:v>
                </c:pt>
                <c:pt idx="31">
                  <c:v>33</c:v>
                </c:pt>
                <c:pt idx="32">
                  <c:v>32</c:v>
                </c:pt>
                <c:pt idx="33">
                  <c:v>28</c:v>
                </c:pt>
                <c:pt idx="34">
                  <c:v>26</c:v>
                </c:pt>
                <c:pt idx="35">
                  <c:v>25</c:v>
                </c:pt>
                <c:pt idx="36">
                  <c:v>23</c:v>
                </c:pt>
                <c:pt idx="37">
                  <c:v>20</c:v>
                </c:pt>
                <c:pt idx="38">
                  <c:v>20</c:v>
                </c:pt>
                <c:pt idx="39">
                  <c:v>19</c:v>
                </c:pt>
                <c:pt idx="40">
                  <c:v>18</c:v>
                </c:pt>
                <c:pt idx="41">
                  <c:v>17</c:v>
                </c:pt>
                <c:pt idx="42">
                  <c:v>16.200000000000003</c:v>
                </c:pt>
                <c:pt idx="43">
                  <c:v>16.200000000000003</c:v>
                </c:pt>
                <c:pt idx="44">
                  <c:v>15.599999999999998</c:v>
                </c:pt>
                <c:pt idx="45">
                  <c:v>14.000000000000007</c:v>
                </c:pt>
                <c:pt idx="46">
                  <c:v>14</c:v>
                </c:pt>
                <c:pt idx="47">
                  <c:v>12.5</c:v>
                </c:pt>
                <c:pt idx="48">
                  <c:v>12</c:v>
                </c:pt>
                <c:pt idx="49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EC-4630-B8D7-EB010B766D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22945544"/>
        <c:axId val="979490312"/>
      </c:barChart>
      <c:catAx>
        <c:axId val="922945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9490312"/>
        <c:crosses val="autoZero"/>
        <c:auto val="1"/>
        <c:lblAlgn val="ctr"/>
        <c:lblOffset val="100"/>
        <c:noMultiLvlLbl val="0"/>
      </c:catAx>
      <c:valAx>
        <c:axId val="979490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₹-439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2945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[Shop Sales Analysis System.xlsx]Pivot_Analysis - Week -  2!PivotTable3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Selling Product ( By Quantity 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'Pivot_Analysis - Week -  2'!$Z$4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'Pivot_Analysis - Week -  2'!$Y$5:$Y$55</c:f>
              <c:strCache>
                <c:ptCount val="50"/>
                <c:pt idx="0">
                  <c:v>3/4" PVC Hook</c:v>
                </c:pt>
                <c:pt idx="1">
                  <c:v>3/4" Elbow</c:v>
                </c:pt>
                <c:pt idx="2">
                  <c:v>1/2" Plug</c:v>
                </c:pt>
                <c:pt idx="3">
                  <c:v>Teplon</c:v>
                </c:pt>
                <c:pt idx="4">
                  <c:v>4" Blade</c:v>
                </c:pt>
                <c:pt idx="5">
                  <c:v>3/4" Pipe</c:v>
                </c:pt>
                <c:pt idx="6">
                  <c:v>1" Pipe</c:v>
                </c:pt>
                <c:pt idx="7">
                  <c:v>Fan Hook</c:v>
                </c:pt>
                <c:pt idx="8">
                  <c:v>4" Pipe</c:v>
                </c:pt>
                <c:pt idx="9">
                  <c:v>3" Band</c:v>
                </c:pt>
                <c:pt idx="10">
                  <c:v>1" Elbow</c:v>
                </c:pt>
                <c:pt idx="11">
                  <c:v>Nut Bolt</c:v>
                </c:pt>
                <c:pt idx="12">
                  <c:v>1" Clip</c:v>
                </c:pt>
                <c:pt idx="13">
                  <c:v>Tap</c:v>
                </c:pt>
                <c:pt idx="14">
                  <c:v>1" Coupler</c:v>
                </c:pt>
                <c:pt idx="15">
                  <c:v>1" Ball Valve</c:v>
                </c:pt>
                <c:pt idx="16">
                  <c:v>3/4"x1/2" B Elbow</c:v>
                </c:pt>
                <c:pt idx="17">
                  <c:v>1" Union</c:v>
                </c:pt>
                <c:pt idx="18">
                  <c:v>4" Band</c:v>
                </c:pt>
                <c:pt idx="19">
                  <c:v>Jointer</c:v>
                </c:pt>
                <c:pt idx="20">
                  <c:v>3/4" Cancilled</c:v>
                </c:pt>
                <c:pt idx="21">
                  <c:v>Steel Tap</c:v>
                </c:pt>
                <c:pt idx="22">
                  <c:v>3" Half Band</c:v>
                </c:pt>
                <c:pt idx="23">
                  <c:v>Solvent 50ml</c:v>
                </c:pt>
                <c:pt idx="24">
                  <c:v>3" Jali</c:v>
                </c:pt>
                <c:pt idx="25">
                  <c:v>1/2" B MTA</c:v>
                </c:pt>
                <c:pt idx="26">
                  <c:v>1" MTA</c:v>
                </c:pt>
                <c:pt idx="27">
                  <c:v>3/4" Union</c:v>
                </c:pt>
                <c:pt idx="28">
                  <c:v>3" Y Tee</c:v>
                </c:pt>
                <c:pt idx="29">
                  <c:v>Steel Angle Cock</c:v>
                </c:pt>
                <c:pt idx="30">
                  <c:v>Solvent 100ml</c:v>
                </c:pt>
                <c:pt idx="31">
                  <c:v>3" Pipe</c:v>
                </c:pt>
                <c:pt idx="32">
                  <c:v>1"x3/4" Buss</c:v>
                </c:pt>
                <c:pt idx="33">
                  <c:v>1" Tee</c:v>
                </c:pt>
                <c:pt idx="34">
                  <c:v>1/2" Connection Pipe</c:v>
                </c:pt>
                <c:pt idx="35">
                  <c:v>5" Blade</c:v>
                </c:pt>
                <c:pt idx="36">
                  <c:v>1" Loose Pipe</c:v>
                </c:pt>
                <c:pt idx="37">
                  <c:v>Tank Cover</c:v>
                </c:pt>
                <c:pt idx="38">
                  <c:v>Hand Shower</c:v>
                </c:pt>
                <c:pt idx="39">
                  <c:v>3" Bocket</c:v>
                </c:pt>
                <c:pt idx="40">
                  <c:v>4" Tee</c:v>
                </c:pt>
                <c:pt idx="41">
                  <c:v>Pump Handle</c:v>
                </c:pt>
                <c:pt idx="42">
                  <c:v>1/2" Check Valve</c:v>
                </c:pt>
                <c:pt idx="43">
                  <c:v>PVC Solvent</c:v>
                </c:pt>
                <c:pt idx="44">
                  <c:v>Sypahn Baser</c:v>
                </c:pt>
                <c:pt idx="45">
                  <c:v>Seat</c:v>
                </c:pt>
                <c:pt idx="46">
                  <c:v>3" Gold Plenjer</c:v>
                </c:pt>
                <c:pt idx="47">
                  <c:v>3/4" Ball Valve</c:v>
                </c:pt>
                <c:pt idx="48">
                  <c:v>Solvent 20ml</c:v>
                </c:pt>
                <c:pt idx="49">
                  <c:v>5"x4" Syphan</c:v>
                </c:pt>
              </c:strCache>
            </c:strRef>
          </c:cat>
          <c:val>
            <c:numRef>
              <c:f>'Pivot_Analysis - Week -  2'!$Z$5:$Z$55</c:f>
              <c:numCache>
                <c:formatCode>General</c:formatCode>
                <c:ptCount val="50"/>
                <c:pt idx="0">
                  <c:v>39</c:v>
                </c:pt>
                <c:pt idx="1">
                  <c:v>23</c:v>
                </c:pt>
                <c:pt idx="2">
                  <c:v>20</c:v>
                </c:pt>
                <c:pt idx="3">
                  <c:v>16</c:v>
                </c:pt>
                <c:pt idx="4">
                  <c:v>12</c:v>
                </c:pt>
                <c:pt idx="5">
                  <c:v>10</c:v>
                </c:pt>
                <c:pt idx="6">
                  <c:v>7</c:v>
                </c:pt>
                <c:pt idx="7">
                  <c:v>7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5</c:v>
                </c:pt>
                <c:pt idx="13">
                  <c:v>5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EE-4691-8DE2-98FD99D9F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85382408"/>
        <c:axId val="985384456"/>
      </c:barChart>
      <c:catAx>
        <c:axId val="985382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5384456"/>
        <c:crosses val="autoZero"/>
        <c:auto val="1"/>
        <c:lblAlgn val="ctr"/>
        <c:lblOffset val="100"/>
        <c:noMultiLvlLbl val="0"/>
      </c:catAx>
      <c:valAx>
        <c:axId val="985384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53824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15</xdr:row>
      <xdr:rowOff>171450</xdr:rowOff>
    </xdr:from>
    <xdr:to>
      <xdr:col>8</xdr:col>
      <xdr:colOff>38100</xdr:colOff>
      <xdr:row>28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CE1B87-44EE-8C0C-32F1-A9D110A40C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609600</xdr:colOff>
      <xdr:row>52</xdr:row>
      <xdr:rowOff>238125</xdr:rowOff>
    </xdr:from>
    <xdr:to>
      <xdr:col>19</xdr:col>
      <xdr:colOff>0</xdr:colOff>
      <xdr:row>64</xdr:row>
      <xdr:rowOff>238125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F3A98DB-FCE7-6505-ECE2-3AA1B7B92A0A}"/>
            </a:ext>
            <a:ext uri="{147F2762-F138-4A5C-976F-8EAC2B608ADB}">
              <a16:predDERef xmlns:a16="http://schemas.microsoft.com/office/drawing/2014/main" pred="{40CE1B87-44EE-8C0C-32F1-A9D110A40C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0</xdr:colOff>
      <xdr:row>52</xdr:row>
      <xdr:rowOff>219075</xdr:rowOff>
    </xdr:from>
    <xdr:to>
      <xdr:col>30</xdr:col>
      <xdr:colOff>619125</xdr:colOff>
      <xdr:row>64</xdr:row>
      <xdr:rowOff>209550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30C6053-EAC5-3329-6B8C-126800D88A4D}"/>
            </a:ext>
            <a:ext uri="{147F2762-F138-4A5C-976F-8EAC2B608ADB}">
              <a16:predDERef xmlns:a16="http://schemas.microsoft.com/office/drawing/2014/main" pred="{4F3A98DB-FCE7-6505-ECE2-3AA1B7B92A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1185863</xdr:colOff>
      <xdr:row>12</xdr:row>
      <xdr:rowOff>119062</xdr:rowOff>
    </xdr:from>
    <xdr:to>
      <xdr:col>4</xdr:col>
      <xdr:colOff>1395413</xdr:colOff>
      <xdr:row>14</xdr:row>
      <xdr:rowOff>128587</xdr:rowOff>
    </xdr:to>
    <xdr:sp macro="" textlink="">
      <xdr:nvSpPr>
        <xdr:cNvPr id="5" name="Right Arrow 4">
          <a:extLst>
            <a:ext uri="{FF2B5EF4-FFF2-40B4-BE49-F238E27FC236}">
              <a16:creationId xmlns:a16="http://schemas.microsoft.com/office/drawing/2014/main" id="{90BBCFD0-6DD7-496A-B2B6-ACD72ECCB594}"/>
            </a:ext>
            <a:ext uri="{147F2762-F138-4A5C-976F-8EAC2B608ADB}">
              <a16:predDERef xmlns:a16="http://schemas.microsoft.com/office/drawing/2014/main" pred="{330C6053-EAC5-3329-6B8C-126800D88A4D}"/>
            </a:ext>
          </a:extLst>
        </xdr:cNvPr>
        <xdr:cNvSpPr/>
      </xdr:nvSpPr>
      <xdr:spPr>
        <a:xfrm rot="5400000">
          <a:off x="3543300" y="3362325"/>
          <a:ext cx="523875" cy="20955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/>
        </a:p>
      </xdr:txBody>
    </xdr:sp>
    <xdr:clientData/>
  </xdr:twoCellAnchor>
  <xdr:twoCellAnchor>
    <xdr:from>
      <xdr:col>13</xdr:col>
      <xdr:colOff>1390650</xdr:colOff>
      <xdr:row>50</xdr:row>
      <xdr:rowOff>133350</xdr:rowOff>
    </xdr:from>
    <xdr:to>
      <xdr:col>14</xdr:col>
      <xdr:colOff>95250</xdr:colOff>
      <xdr:row>52</xdr:row>
      <xdr:rowOff>142875</xdr:rowOff>
    </xdr:to>
    <xdr:sp macro="" textlink="">
      <xdr:nvSpPr>
        <xdr:cNvPr id="10" name="Right Arrow 9">
          <a:extLst>
            <a:ext uri="{FF2B5EF4-FFF2-40B4-BE49-F238E27FC236}">
              <a16:creationId xmlns:a16="http://schemas.microsoft.com/office/drawing/2014/main" id="{11083177-CC1A-4C90-8A7E-61B48508AA3E}"/>
            </a:ext>
            <a:ext uri="{147F2762-F138-4A5C-976F-8EAC2B608ADB}">
              <a16:predDERef xmlns:a16="http://schemas.microsoft.com/office/drawing/2014/main" pred="{49671F23-0755-44AC-AB6B-34C8D2C48DFB}"/>
            </a:ext>
          </a:extLst>
        </xdr:cNvPr>
        <xdr:cNvSpPr/>
      </xdr:nvSpPr>
      <xdr:spPr>
        <a:xfrm rot="5400000">
          <a:off x="11158537" y="13111163"/>
          <a:ext cx="523875" cy="20955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/>
        </a:p>
      </xdr:txBody>
    </xdr:sp>
    <xdr:clientData/>
  </xdr:twoCellAnchor>
  <xdr:twoCellAnchor>
    <xdr:from>
      <xdr:col>23</xdr:col>
      <xdr:colOff>1419225</xdr:colOff>
      <xdr:row>50</xdr:row>
      <xdr:rowOff>104775</xdr:rowOff>
    </xdr:from>
    <xdr:to>
      <xdr:col>24</xdr:col>
      <xdr:colOff>123825</xdr:colOff>
      <xdr:row>52</xdr:row>
      <xdr:rowOff>114300</xdr:rowOff>
    </xdr:to>
    <xdr:sp macro="" textlink="">
      <xdr:nvSpPr>
        <xdr:cNvPr id="11" name="Right Arrow 10">
          <a:extLst>
            <a:ext uri="{FF2B5EF4-FFF2-40B4-BE49-F238E27FC236}">
              <a16:creationId xmlns:a16="http://schemas.microsoft.com/office/drawing/2014/main" id="{6ACF9E81-6ADD-439C-A3F4-5F14E320ED05}"/>
            </a:ext>
            <a:ext uri="{147F2762-F138-4A5C-976F-8EAC2B608ADB}">
              <a16:predDERef xmlns:a16="http://schemas.microsoft.com/office/drawing/2014/main" pred="{11083177-CC1A-4C90-8A7E-61B48508AA3E}"/>
            </a:ext>
          </a:extLst>
        </xdr:cNvPr>
        <xdr:cNvSpPr/>
      </xdr:nvSpPr>
      <xdr:spPr>
        <a:xfrm rot="5400000">
          <a:off x="19226212" y="13082588"/>
          <a:ext cx="523875" cy="20955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/>
        </a:p>
      </xdr:txBody>
    </xdr:sp>
    <xdr:clientData/>
  </xdr:twoCellAnchor>
  <xdr:twoCellAnchor>
    <xdr:from>
      <xdr:col>5</xdr:col>
      <xdr:colOff>276225</xdr:colOff>
      <xdr:row>12</xdr:row>
      <xdr:rowOff>76200</xdr:rowOff>
    </xdr:from>
    <xdr:to>
      <xdr:col>5</xdr:col>
      <xdr:colOff>371475</xdr:colOff>
      <xdr:row>15</xdr:row>
      <xdr:rowOff>28575</xdr:rowOff>
    </xdr:to>
    <xdr:sp macro="" textlink="">
      <xdr:nvSpPr>
        <xdr:cNvPr id="6" name="Right Arrow 5">
          <a:extLst>
            <a:ext uri="{FF2B5EF4-FFF2-40B4-BE49-F238E27FC236}">
              <a16:creationId xmlns:a16="http://schemas.microsoft.com/office/drawing/2014/main" id="{EF630A16-DDC3-4F80-AB61-4104270751DE}"/>
            </a:ext>
            <a:ext uri="{147F2762-F138-4A5C-976F-8EAC2B608ADB}">
              <a16:predDERef xmlns:a16="http://schemas.microsoft.com/office/drawing/2014/main" pred="{6ACF9E81-6ADD-439C-A3F4-5F14E320ED05}"/>
            </a:ext>
          </a:extLst>
        </xdr:cNvPr>
        <xdr:cNvSpPr/>
      </xdr:nvSpPr>
      <xdr:spPr>
        <a:xfrm rot="5400000">
          <a:off x="3548062" y="2938463"/>
          <a:ext cx="523875" cy="9525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600075</xdr:colOff>
      <xdr:row>15</xdr:row>
      <xdr:rowOff>0</xdr:rowOff>
    </xdr:from>
    <xdr:to>
      <xdr:col>7</xdr:col>
      <xdr:colOff>600075</xdr:colOff>
      <xdr:row>28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557793D-6EE7-C958-E439-37F34BEA48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57</xdr:row>
      <xdr:rowOff>180975</xdr:rowOff>
    </xdr:from>
    <xdr:to>
      <xdr:col>18</xdr:col>
      <xdr:colOff>590550</xdr:colOff>
      <xdr:row>73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C4CA6C0-6091-D872-85DE-8DAF548754B6}"/>
            </a:ext>
            <a:ext uri="{147F2762-F138-4A5C-976F-8EAC2B608ADB}">
              <a16:predDERef xmlns:a16="http://schemas.microsoft.com/office/drawing/2014/main" pred="{8557793D-6EE7-C958-E439-37F34BEA48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600075</xdr:colOff>
      <xdr:row>57</xdr:row>
      <xdr:rowOff>171450</xdr:rowOff>
    </xdr:from>
    <xdr:to>
      <xdr:col>30</xdr:col>
      <xdr:colOff>590550</xdr:colOff>
      <xdr:row>73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4230848-F901-87E5-EFBB-585C30FB4ACF}"/>
            </a:ext>
            <a:ext uri="{147F2762-F138-4A5C-976F-8EAC2B608ADB}">
              <a16:predDERef xmlns:a16="http://schemas.microsoft.com/office/drawing/2014/main" pred="{8C4CA6C0-6091-D872-85DE-8DAF548754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738187</xdr:colOff>
      <xdr:row>12</xdr:row>
      <xdr:rowOff>14288</xdr:rowOff>
    </xdr:from>
    <xdr:to>
      <xdr:col>5</xdr:col>
      <xdr:colOff>42862</xdr:colOff>
      <xdr:row>14</xdr:row>
      <xdr:rowOff>71438</xdr:rowOff>
    </xdr:to>
    <xdr:sp macro="" textlink="">
      <xdr:nvSpPr>
        <xdr:cNvPr id="5" name="Right Arrow 4">
          <a:extLst>
            <a:ext uri="{FF2B5EF4-FFF2-40B4-BE49-F238E27FC236}">
              <a16:creationId xmlns:a16="http://schemas.microsoft.com/office/drawing/2014/main" id="{F5E49685-8CBC-4617-9ACB-75DD504E7998}"/>
            </a:ext>
            <a:ext uri="{147F2762-F138-4A5C-976F-8EAC2B608ADB}">
              <a16:predDERef xmlns:a16="http://schemas.microsoft.com/office/drawing/2014/main" pred="{34230848-F901-87E5-EFBB-585C30FB4ACF}"/>
            </a:ext>
          </a:extLst>
        </xdr:cNvPr>
        <xdr:cNvSpPr/>
      </xdr:nvSpPr>
      <xdr:spPr>
        <a:xfrm rot="5400000">
          <a:off x="3000375" y="2476500"/>
          <a:ext cx="438150" cy="8572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/>
        </a:p>
      </xdr:txBody>
    </xdr:sp>
    <xdr:clientData/>
  </xdr:twoCellAnchor>
  <xdr:twoCellAnchor>
    <xdr:from>
      <xdr:col>13</xdr:col>
      <xdr:colOff>1009650</xdr:colOff>
      <xdr:row>55</xdr:row>
      <xdr:rowOff>57150</xdr:rowOff>
    </xdr:from>
    <xdr:to>
      <xdr:col>13</xdr:col>
      <xdr:colOff>1104900</xdr:colOff>
      <xdr:row>57</xdr:row>
      <xdr:rowOff>76200</xdr:rowOff>
    </xdr:to>
    <xdr:sp macro="" textlink="">
      <xdr:nvSpPr>
        <xdr:cNvPr id="6" name="Right Arrow 5">
          <a:extLst>
            <a:ext uri="{FF2B5EF4-FFF2-40B4-BE49-F238E27FC236}">
              <a16:creationId xmlns:a16="http://schemas.microsoft.com/office/drawing/2014/main" id="{DFE83430-34DF-40CC-887F-691DA286A066}"/>
            </a:ext>
            <a:ext uri="{147F2762-F138-4A5C-976F-8EAC2B608ADB}">
              <a16:predDERef xmlns:a16="http://schemas.microsoft.com/office/drawing/2014/main" pred="{F5E49685-8CBC-4617-9ACB-75DD504E7998}"/>
            </a:ext>
          </a:extLst>
        </xdr:cNvPr>
        <xdr:cNvSpPr/>
      </xdr:nvSpPr>
      <xdr:spPr>
        <a:xfrm rot="5400000">
          <a:off x="9201150" y="10687050"/>
          <a:ext cx="400050" cy="9525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/>
        </a:p>
      </xdr:txBody>
    </xdr:sp>
    <xdr:clientData/>
  </xdr:twoCellAnchor>
  <xdr:twoCellAnchor>
    <xdr:from>
      <xdr:col>24</xdr:col>
      <xdr:colOff>1104900</xdr:colOff>
      <xdr:row>55</xdr:row>
      <xdr:rowOff>66675</xdr:rowOff>
    </xdr:from>
    <xdr:to>
      <xdr:col>24</xdr:col>
      <xdr:colOff>1200150</xdr:colOff>
      <xdr:row>57</xdr:row>
      <xdr:rowOff>85725</xdr:rowOff>
    </xdr:to>
    <xdr:sp macro="" textlink="">
      <xdr:nvSpPr>
        <xdr:cNvPr id="7" name="Right Arrow 6">
          <a:extLst>
            <a:ext uri="{FF2B5EF4-FFF2-40B4-BE49-F238E27FC236}">
              <a16:creationId xmlns:a16="http://schemas.microsoft.com/office/drawing/2014/main" id="{DF9E67C8-E331-4E5B-B5E5-6B37AC83C004}"/>
            </a:ext>
            <a:ext uri="{147F2762-F138-4A5C-976F-8EAC2B608ADB}">
              <a16:predDERef xmlns:a16="http://schemas.microsoft.com/office/drawing/2014/main" pred="{DFE83430-34DF-40CC-887F-691DA286A066}"/>
            </a:ext>
          </a:extLst>
        </xdr:cNvPr>
        <xdr:cNvSpPr/>
      </xdr:nvSpPr>
      <xdr:spPr>
        <a:xfrm rot="5400000">
          <a:off x="16973550" y="10696575"/>
          <a:ext cx="400050" cy="9525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9525</xdr:colOff>
      <xdr:row>13</xdr:row>
      <xdr:rowOff>9525</xdr:rowOff>
    </xdr:from>
    <xdr:to>
      <xdr:col>14</xdr:col>
      <xdr:colOff>600075</xdr:colOff>
      <xdr:row>32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2D1C92-761C-43A7-B933-DE766C3F6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19050</xdr:colOff>
      <xdr:row>35</xdr:row>
      <xdr:rowOff>0</xdr:rowOff>
    </xdr:from>
    <xdr:to>
      <xdr:col>14</xdr:col>
      <xdr:colOff>581025</xdr:colOff>
      <xdr:row>54</xdr:row>
      <xdr:rowOff>161925</xdr:rowOff>
    </xdr:to>
    <xdr:graphicFrame macro="">
      <xdr:nvGraphicFramePr>
        <xdr:cNvPr id="3" name="Chart 4">
          <a:extLst>
            <a:ext uri="{FF2B5EF4-FFF2-40B4-BE49-F238E27FC236}">
              <a16:creationId xmlns:a16="http://schemas.microsoft.com/office/drawing/2014/main" id="{7626BA86-A8AE-4672-9CFD-FEF02A8E11B8}"/>
            </a:ext>
            <a:ext uri="{147F2762-F138-4A5C-976F-8EAC2B608ADB}">
              <a16:predDERef xmlns:a16="http://schemas.microsoft.com/office/drawing/2014/main" pred="{002D1C92-761C-43A7-B933-DE766C3F6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19050</xdr:colOff>
      <xdr:row>57</xdr:row>
      <xdr:rowOff>0</xdr:rowOff>
    </xdr:from>
    <xdr:to>
      <xdr:col>14</xdr:col>
      <xdr:colOff>590550</xdr:colOff>
      <xdr:row>76</xdr:row>
      <xdr:rowOff>171450</xdr:rowOff>
    </xdr:to>
    <xdr:graphicFrame macro="">
      <xdr:nvGraphicFramePr>
        <xdr:cNvPr id="4" name="Chart 6">
          <a:extLst>
            <a:ext uri="{FF2B5EF4-FFF2-40B4-BE49-F238E27FC236}">
              <a16:creationId xmlns:a16="http://schemas.microsoft.com/office/drawing/2014/main" id="{ED7EA4D7-F50B-491F-90B9-24B9529B3E0E}"/>
            </a:ext>
            <a:ext uri="{147F2762-F138-4A5C-976F-8EAC2B608ADB}">
              <a16:predDERef xmlns:a16="http://schemas.microsoft.com/office/drawing/2014/main" pred="{7626BA86-A8AE-4672-9CFD-FEF02A8E11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9525</xdr:colOff>
      <xdr:row>13</xdr:row>
      <xdr:rowOff>0</xdr:rowOff>
    </xdr:from>
    <xdr:to>
      <xdr:col>31</xdr:col>
      <xdr:colOff>600075</xdr:colOff>
      <xdr:row>32</xdr:row>
      <xdr:rowOff>171450</xdr:rowOff>
    </xdr:to>
    <xdr:graphicFrame macro="">
      <xdr:nvGraphicFramePr>
        <xdr:cNvPr id="5" name="Chart 2">
          <a:extLst>
            <a:ext uri="{FF2B5EF4-FFF2-40B4-BE49-F238E27FC236}">
              <a16:creationId xmlns:a16="http://schemas.microsoft.com/office/drawing/2014/main" id="{D8570743-E868-4D90-A674-78AA8D0487F7}"/>
            </a:ext>
            <a:ext uri="{147F2762-F138-4A5C-976F-8EAC2B608ADB}">
              <a16:predDERef xmlns:a16="http://schemas.microsoft.com/office/drawing/2014/main" pred="{ED7EA4D7-F50B-491F-90B9-24B9529B3E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19</xdr:col>
      <xdr:colOff>0</xdr:colOff>
      <xdr:row>35</xdr:row>
      <xdr:rowOff>9525</xdr:rowOff>
    </xdr:from>
    <xdr:to>
      <xdr:col>31</xdr:col>
      <xdr:colOff>590550</xdr:colOff>
      <xdr:row>54</xdr:row>
      <xdr:rowOff>161925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29DD9FE-6C06-430F-8B1A-56A7BC57094B}"/>
            </a:ext>
            <a:ext uri="{147F2762-F138-4A5C-976F-8EAC2B608ADB}">
              <a16:predDERef xmlns:a16="http://schemas.microsoft.com/office/drawing/2014/main" pred="{D8570743-E868-4D90-A674-78AA8D0487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0</xdr:colOff>
      <xdr:row>57</xdr:row>
      <xdr:rowOff>0</xdr:rowOff>
    </xdr:from>
    <xdr:to>
      <xdr:col>31</xdr:col>
      <xdr:colOff>600075</xdr:colOff>
      <xdr:row>76</xdr:row>
      <xdr:rowOff>161925</xdr:rowOff>
    </xdr:to>
    <xdr:graphicFrame macro="">
      <xdr:nvGraphicFramePr>
        <xdr:cNvPr id="7" name="Chart 3">
          <a:extLst>
            <a:ext uri="{FF2B5EF4-FFF2-40B4-BE49-F238E27FC236}">
              <a16:creationId xmlns:a16="http://schemas.microsoft.com/office/drawing/2014/main" id="{FB9AA9FF-DFDB-4A87-BEF3-E073B5D89946}"/>
            </a:ext>
            <a:ext uri="{147F2762-F138-4A5C-976F-8EAC2B608ADB}">
              <a16:predDERef xmlns:a16="http://schemas.microsoft.com/office/drawing/2014/main" pred="{429DD9FE-6C06-430F-8B1A-56A7BC5709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49.846589351851" createdVersion="8" refreshedVersion="8" minRefreshableVersion="3" recordCount="116" xr:uid="{88CBC15E-C58E-4885-A3CA-30099C964F3F}">
  <cacheSource type="worksheet">
    <worksheetSource name="Table7"/>
  </cacheSource>
  <cacheFields count="8">
    <cacheField name="Date" numFmtId="14">
      <sharedItems containsSemiMixedTypes="0" containsNonDate="0" containsDate="1" containsString="0" minDate="2026-08-03T00:00:00" maxDate="2026-08-17T00:00:00" count="14"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</sharedItems>
    </cacheField>
    <cacheField name="Product" numFmtId="0">
      <sharedItems containsBlank="1" count="82">
        <s v="1&quot; Pipe"/>
        <s v="Loose Pipe"/>
        <s v="1&quot; Ball Valve"/>
        <s v="Handpump"/>
        <s v="Solvent 10ml"/>
        <s v="Aree Blade"/>
        <s v="Shower"/>
        <s v="Tap"/>
        <s v="3&quot; Bocket"/>
        <s v="4&quot; Pipe"/>
        <s v="4&quot; Coupler"/>
        <s v="4&quot; Band"/>
        <s v="4&quot; Tee"/>
        <s v="Solvent PVC"/>
        <s v="M-Seal"/>
        <s v="Tank Cover"/>
        <s v="3&quot; Pipe"/>
        <s v="3&quot; Coupler"/>
        <s v="3&quot; Band"/>
        <s v="3&quot; Tee"/>
        <s v="3&quot; Hook"/>
        <s v="3&quot; End Cap"/>
        <s v="Angle Cock"/>
        <s v="Connection Pipe"/>
        <s v="Stand Besin"/>
        <s v="Waste Pipe"/>
        <s v="1/2&quot;x12&quot; Nepul"/>
        <s v="White Cement"/>
        <s v="1&quot; Elbow"/>
        <s v="1&quot; Coupler"/>
        <s v="Solvent"/>
        <s v="PVC Hook"/>
        <s v="Flusher"/>
        <s v="Fan Hook"/>
        <s v="4&quot; Blade"/>
        <s v="Long Tap"/>
        <s v="1/2&quot; Pipe"/>
        <s v="5&quot; Syphan"/>
        <s v="1&quot;x4&quot; Nepul"/>
        <s v="1½&quot;x3/4&quot; Rodiser"/>
        <s v="1½&quot;x6&quot; Nepul"/>
        <s v="3/4&quot; Checkvalve"/>
        <s v="3/4&quot;x3&quot; Nepul"/>
        <s v="Suta"/>
        <s v="Plumber Masala"/>
        <s v="1/2&quot; Check Valve"/>
        <s v="1/2&quot; B MTA"/>
        <s v="Solvent 20ml"/>
        <s v="Pump Handle"/>
        <s v="Nut Bolt"/>
        <s v="PVC Solvent"/>
        <s v="3/4&quot; Pipe"/>
        <s v="3/4&quot; Elbow"/>
        <s v="3/4&quot; Union"/>
        <s v="Solvent 100ml"/>
        <s v="3/4&quot; PVC Hook"/>
        <s v="Steel Tap"/>
        <s v="Hand Shower"/>
        <s v="3/4&quot; Cancilled"/>
        <s v="Teplon"/>
        <s v="1/2&quot; Plug"/>
        <s v="1/2&quot; Connection Pipe"/>
        <s v="Steel Angle Cock"/>
        <s v="3/4&quot;x1/2&quot; B Elbow"/>
        <s v="1&quot;x3/4&quot; Buss"/>
        <s v="1&quot; MTA"/>
        <s v="1&quot; Union"/>
        <s v="3/4&quot; Ball Valve"/>
        <s v="3&quot; Y Tee"/>
        <s v="3&quot; Half Band"/>
        <s v="3&quot; Jali"/>
        <s v="5&quot; Blade"/>
        <s v="Seat"/>
        <s v="5&quot;x4&quot; Syphan"/>
        <s v="Sypahn Baser"/>
        <s v="Solvent 50ml"/>
        <s v="3&quot; Gold Plenjer"/>
        <s v="1&quot; Tee"/>
        <s v="1&quot; Loose Pipe"/>
        <s v="Jointer"/>
        <s v="1&quot; Clip"/>
        <m u="1"/>
      </sharedItems>
    </cacheField>
    <cacheField name="Quantity" numFmtId="0">
      <sharedItems containsSemiMixedTypes="0" containsString="0" containsNumber="1" containsInteger="1" minValue="1" maxValue="24"/>
    </cacheField>
    <cacheField name="Sell_Price" numFmtId="164">
      <sharedItems containsSemiMixedTypes="0" containsString="0" containsNumber="1" minValue="3.5" maxValue="1900"/>
    </cacheField>
    <cacheField name="Cost_Price" numFmtId="164">
      <sharedItems containsSemiMixedTypes="0" containsString="0" containsNumber="1" minValue="1.6" maxValue="1772"/>
    </cacheField>
    <cacheField name="Profit" numFmtId="164">
      <sharedItems containsSemiMixedTypes="0" containsString="0" containsNumber="1" minValue="3" maxValue="350"/>
    </cacheField>
    <cacheField name="Day" numFmtId="0">
      <sharedItems count="7">
        <s v="Monday"/>
        <s v="Tuesday"/>
        <s v="Wednesday"/>
        <s v="Thursday"/>
        <s v="Friday"/>
        <s v="Saturday"/>
        <s v="Sunday"/>
      </sharedItems>
    </cacheField>
    <cacheField name="Week" numFmtId="164">
      <sharedItems count="3">
        <s v="Week 1"/>
        <s v="Week 2"/>
        <s v="Week -6605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6">
  <r>
    <x v="0"/>
    <x v="0"/>
    <n v="6"/>
    <n v="270"/>
    <n v="253"/>
    <n v="102"/>
    <x v="0"/>
    <x v="0"/>
  </r>
  <r>
    <x v="0"/>
    <x v="1"/>
    <n v="1"/>
    <n v="1100"/>
    <n v="980"/>
    <n v="120"/>
    <x v="0"/>
    <x v="0"/>
  </r>
  <r>
    <x v="0"/>
    <x v="2"/>
    <n v="2"/>
    <n v="260"/>
    <n v="234"/>
    <n v="52"/>
    <x v="0"/>
    <x v="0"/>
  </r>
  <r>
    <x v="0"/>
    <x v="3"/>
    <n v="1"/>
    <n v="1300"/>
    <n v="1180"/>
    <n v="120"/>
    <x v="0"/>
    <x v="0"/>
  </r>
  <r>
    <x v="0"/>
    <x v="4"/>
    <n v="4"/>
    <n v="40"/>
    <n v="33"/>
    <n v="28"/>
    <x v="0"/>
    <x v="0"/>
  </r>
  <r>
    <x v="0"/>
    <x v="5"/>
    <n v="8"/>
    <n v="10"/>
    <n v="9.1"/>
    <n v="7.2000000000000028"/>
    <x v="0"/>
    <x v="0"/>
  </r>
  <r>
    <x v="0"/>
    <x v="6"/>
    <n v="1"/>
    <n v="350"/>
    <n v="280"/>
    <n v="70"/>
    <x v="0"/>
    <x v="0"/>
  </r>
  <r>
    <x v="0"/>
    <x v="7"/>
    <n v="6"/>
    <n v="60"/>
    <n v="51"/>
    <n v="54"/>
    <x v="0"/>
    <x v="0"/>
  </r>
  <r>
    <x v="0"/>
    <x v="8"/>
    <n v="3"/>
    <n v="60"/>
    <n v="57"/>
    <n v="9"/>
    <x v="0"/>
    <x v="0"/>
  </r>
  <r>
    <x v="1"/>
    <x v="9"/>
    <n v="6"/>
    <n v="550"/>
    <n v="523"/>
    <n v="162"/>
    <x v="1"/>
    <x v="0"/>
  </r>
  <r>
    <x v="1"/>
    <x v="10"/>
    <n v="6"/>
    <n v="90"/>
    <n v="78"/>
    <n v="72"/>
    <x v="1"/>
    <x v="0"/>
  </r>
  <r>
    <x v="1"/>
    <x v="11"/>
    <n v="4"/>
    <n v="110"/>
    <n v="89"/>
    <n v="84"/>
    <x v="1"/>
    <x v="0"/>
  </r>
  <r>
    <x v="1"/>
    <x v="12"/>
    <n v="2"/>
    <n v="140"/>
    <n v="125"/>
    <n v="30"/>
    <x v="1"/>
    <x v="0"/>
  </r>
  <r>
    <x v="1"/>
    <x v="13"/>
    <n v="2"/>
    <n v="35"/>
    <n v="28"/>
    <n v="14"/>
    <x v="1"/>
    <x v="0"/>
  </r>
  <r>
    <x v="1"/>
    <x v="7"/>
    <n v="3"/>
    <n v="60"/>
    <n v="51"/>
    <n v="27"/>
    <x v="1"/>
    <x v="0"/>
  </r>
  <r>
    <x v="1"/>
    <x v="14"/>
    <n v="7"/>
    <n v="10"/>
    <n v="8"/>
    <n v="14"/>
    <x v="1"/>
    <x v="0"/>
  </r>
  <r>
    <x v="1"/>
    <x v="15"/>
    <n v="2"/>
    <n v="700"/>
    <n v="560"/>
    <n v="280"/>
    <x v="1"/>
    <x v="0"/>
  </r>
  <r>
    <x v="2"/>
    <x v="16"/>
    <n v="2"/>
    <n v="330"/>
    <n v="297"/>
    <n v="66"/>
    <x v="2"/>
    <x v="0"/>
  </r>
  <r>
    <x v="2"/>
    <x v="17"/>
    <n v="5"/>
    <n v="50"/>
    <n v="39"/>
    <n v="55"/>
    <x v="2"/>
    <x v="0"/>
  </r>
  <r>
    <x v="2"/>
    <x v="18"/>
    <n v="6"/>
    <n v="60"/>
    <n v="52"/>
    <n v="48"/>
    <x v="2"/>
    <x v="0"/>
  </r>
  <r>
    <x v="2"/>
    <x v="19"/>
    <n v="2"/>
    <n v="110"/>
    <n v="92"/>
    <n v="36"/>
    <x v="2"/>
    <x v="0"/>
  </r>
  <r>
    <x v="2"/>
    <x v="13"/>
    <n v="2"/>
    <n v="35"/>
    <n v="28"/>
    <n v="14"/>
    <x v="2"/>
    <x v="0"/>
  </r>
  <r>
    <x v="2"/>
    <x v="20"/>
    <n v="6"/>
    <n v="20"/>
    <n v="16.5"/>
    <n v="21"/>
    <x v="2"/>
    <x v="0"/>
  </r>
  <r>
    <x v="2"/>
    <x v="21"/>
    <n v="2"/>
    <n v="50"/>
    <n v="34"/>
    <n v="32"/>
    <x v="2"/>
    <x v="0"/>
  </r>
  <r>
    <x v="3"/>
    <x v="22"/>
    <n v="2"/>
    <n v="70"/>
    <n v="46"/>
    <n v="48"/>
    <x v="3"/>
    <x v="0"/>
  </r>
  <r>
    <x v="3"/>
    <x v="23"/>
    <n v="2"/>
    <n v="110"/>
    <n v="63"/>
    <n v="94"/>
    <x v="3"/>
    <x v="0"/>
  </r>
  <r>
    <x v="3"/>
    <x v="24"/>
    <n v="2"/>
    <n v="1900"/>
    <n v="1772"/>
    <n v="256"/>
    <x v="3"/>
    <x v="0"/>
  </r>
  <r>
    <x v="3"/>
    <x v="25"/>
    <n v="2"/>
    <n v="90"/>
    <n v="71"/>
    <n v="38"/>
    <x v="3"/>
    <x v="0"/>
  </r>
  <r>
    <x v="3"/>
    <x v="26"/>
    <n v="4"/>
    <n v="120"/>
    <n v="96"/>
    <n v="96"/>
    <x v="3"/>
    <x v="0"/>
  </r>
  <r>
    <x v="3"/>
    <x v="27"/>
    <n v="2"/>
    <n v="40"/>
    <n v="27"/>
    <n v="26"/>
    <x v="3"/>
    <x v="0"/>
  </r>
  <r>
    <x v="4"/>
    <x v="0"/>
    <n v="8"/>
    <n v="270"/>
    <n v="253"/>
    <n v="136"/>
    <x v="4"/>
    <x v="0"/>
  </r>
  <r>
    <x v="4"/>
    <x v="28"/>
    <n v="15"/>
    <n v="30"/>
    <n v="23.5"/>
    <n v="97.5"/>
    <x v="4"/>
    <x v="0"/>
  </r>
  <r>
    <x v="4"/>
    <x v="29"/>
    <n v="8"/>
    <n v="25"/>
    <n v="22"/>
    <n v="24"/>
    <x v="4"/>
    <x v="0"/>
  </r>
  <r>
    <x v="4"/>
    <x v="30"/>
    <n v="2"/>
    <n v="160"/>
    <n v="122"/>
    <n v="76"/>
    <x v="4"/>
    <x v="0"/>
  </r>
  <r>
    <x v="4"/>
    <x v="31"/>
    <n v="20"/>
    <n v="4"/>
    <n v="1.6"/>
    <n v="48"/>
    <x v="4"/>
    <x v="0"/>
  </r>
  <r>
    <x v="4"/>
    <x v="32"/>
    <n v="1"/>
    <n v="1200"/>
    <n v="980"/>
    <n v="220"/>
    <x v="4"/>
    <x v="0"/>
  </r>
  <r>
    <x v="5"/>
    <x v="33"/>
    <n v="3"/>
    <n v="50"/>
    <n v="39.5"/>
    <n v="31.5"/>
    <x v="5"/>
    <x v="0"/>
  </r>
  <r>
    <x v="5"/>
    <x v="34"/>
    <n v="6"/>
    <n v="10"/>
    <n v="9.1"/>
    <n v="5.4000000000000021"/>
    <x v="5"/>
    <x v="0"/>
  </r>
  <r>
    <x v="5"/>
    <x v="35"/>
    <n v="2"/>
    <n v="110"/>
    <n v="73"/>
    <n v="74"/>
    <x v="5"/>
    <x v="0"/>
  </r>
  <r>
    <x v="5"/>
    <x v="36"/>
    <n v="3"/>
    <n v="130"/>
    <n v="112"/>
    <n v="54"/>
    <x v="5"/>
    <x v="0"/>
  </r>
  <r>
    <x v="5"/>
    <x v="7"/>
    <n v="5"/>
    <n v="60"/>
    <n v="51"/>
    <n v="45"/>
    <x v="5"/>
    <x v="0"/>
  </r>
  <r>
    <x v="5"/>
    <x v="34"/>
    <n v="15"/>
    <n v="10"/>
    <n v="9.1"/>
    <n v="13.500000000000005"/>
    <x v="5"/>
    <x v="0"/>
  </r>
  <r>
    <x v="5"/>
    <x v="15"/>
    <n v="2"/>
    <n v="420"/>
    <n v="370"/>
    <n v="100"/>
    <x v="5"/>
    <x v="0"/>
  </r>
  <r>
    <x v="5"/>
    <x v="4"/>
    <n v="6"/>
    <n v="20"/>
    <n v="14"/>
    <n v="36"/>
    <x v="5"/>
    <x v="0"/>
  </r>
  <r>
    <x v="5"/>
    <x v="37"/>
    <n v="1"/>
    <n v="380"/>
    <n v="340"/>
    <n v="40"/>
    <x v="5"/>
    <x v="0"/>
  </r>
  <r>
    <x v="6"/>
    <x v="3"/>
    <n v="2"/>
    <n v="1300"/>
    <n v="1125"/>
    <n v="350"/>
    <x v="6"/>
    <x v="0"/>
  </r>
  <r>
    <x v="6"/>
    <x v="8"/>
    <n v="1"/>
    <n v="60"/>
    <n v="57"/>
    <n v="3"/>
    <x v="6"/>
    <x v="0"/>
  </r>
  <r>
    <x v="6"/>
    <x v="38"/>
    <n v="1"/>
    <n v="60"/>
    <n v="40"/>
    <n v="20"/>
    <x v="6"/>
    <x v="0"/>
  </r>
  <r>
    <x v="6"/>
    <x v="39"/>
    <n v="1"/>
    <n v="120"/>
    <n v="77"/>
    <n v="43"/>
    <x v="6"/>
    <x v="0"/>
  </r>
  <r>
    <x v="6"/>
    <x v="40"/>
    <n v="1"/>
    <n v="150"/>
    <n v="114"/>
    <n v="36"/>
    <x v="6"/>
    <x v="0"/>
  </r>
  <r>
    <x v="6"/>
    <x v="41"/>
    <n v="1"/>
    <n v="550"/>
    <n v="480"/>
    <n v="70"/>
    <x v="6"/>
    <x v="0"/>
  </r>
  <r>
    <x v="6"/>
    <x v="42"/>
    <n v="2"/>
    <n v="36"/>
    <n v="27"/>
    <n v="18"/>
    <x v="6"/>
    <x v="0"/>
  </r>
  <r>
    <x v="6"/>
    <x v="43"/>
    <n v="4"/>
    <n v="5"/>
    <n v="2.2999999999999998"/>
    <n v="10.8"/>
    <x v="6"/>
    <x v="0"/>
  </r>
  <r>
    <x v="6"/>
    <x v="44"/>
    <n v="3"/>
    <n v="20"/>
    <n v="15.5"/>
    <n v="13.5"/>
    <x v="6"/>
    <x v="0"/>
  </r>
  <r>
    <x v="7"/>
    <x v="45"/>
    <n v="1"/>
    <n v="350"/>
    <n v="280"/>
    <n v="70"/>
    <x v="0"/>
    <x v="1"/>
  </r>
  <r>
    <x v="7"/>
    <x v="46"/>
    <n v="2"/>
    <n v="75"/>
    <n v="63.5"/>
    <n v="23"/>
    <x v="0"/>
    <x v="1"/>
  </r>
  <r>
    <x v="7"/>
    <x v="47"/>
    <n v="1"/>
    <n v="40"/>
    <n v="31"/>
    <n v="9"/>
    <x v="0"/>
    <x v="1"/>
  </r>
  <r>
    <x v="7"/>
    <x v="48"/>
    <n v="1"/>
    <n v="260"/>
    <n v="224"/>
    <n v="36"/>
    <x v="0"/>
    <x v="1"/>
  </r>
  <r>
    <x v="7"/>
    <x v="49"/>
    <n v="6"/>
    <n v="5"/>
    <n v="2.2999999999999998"/>
    <n v="16.200000000000003"/>
    <x v="0"/>
    <x v="1"/>
  </r>
  <r>
    <x v="7"/>
    <x v="11"/>
    <n v="3"/>
    <n v="100"/>
    <n v="89"/>
    <n v="33"/>
    <x v="0"/>
    <x v="1"/>
  </r>
  <r>
    <x v="7"/>
    <x v="9"/>
    <n v="2"/>
    <n v="540"/>
    <n v="493"/>
    <n v="94"/>
    <x v="0"/>
    <x v="1"/>
  </r>
  <r>
    <x v="7"/>
    <x v="12"/>
    <n v="1"/>
    <n v="180"/>
    <n v="154"/>
    <n v="26"/>
    <x v="0"/>
    <x v="1"/>
  </r>
  <r>
    <x v="7"/>
    <x v="50"/>
    <n v="1"/>
    <n v="60"/>
    <n v="41"/>
    <n v="19"/>
    <x v="0"/>
    <x v="1"/>
  </r>
  <r>
    <x v="8"/>
    <x v="0"/>
    <n v="2"/>
    <n v="275"/>
    <n v="255"/>
    <n v="40"/>
    <x v="1"/>
    <x v="1"/>
  </r>
  <r>
    <x v="8"/>
    <x v="28"/>
    <n v="6"/>
    <n v="30"/>
    <n v="23.5"/>
    <n v="39"/>
    <x v="1"/>
    <x v="1"/>
  </r>
  <r>
    <x v="8"/>
    <x v="29"/>
    <n v="4"/>
    <n v="25"/>
    <n v="22"/>
    <n v="12"/>
    <x v="1"/>
    <x v="1"/>
  </r>
  <r>
    <x v="8"/>
    <x v="2"/>
    <n v="2"/>
    <n v="240"/>
    <n v="197"/>
    <n v="86"/>
    <x v="1"/>
    <x v="1"/>
  </r>
  <r>
    <x v="8"/>
    <x v="51"/>
    <n v="2"/>
    <n v="170"/>
    <n v="152.6"/>
    <n v="34.800000000000011"/>
    <x v="1"/>
    <x v="1"/>
  </r>
  <r>
    <x v="8"/>
    <x v="52"/>
    <n v="8"/>
    <n v="15"/>
    <n v="12.5"/>
    <n v="20"/>
    <x v="1"/>
    <x v="1"/>
  </r>
  <r>
    <x v="8"/>
    <x v="53"/>
    <n v="2"/>
    <n v="60"/>
    <n v="50"/>
    <n v="20"/>
    <x v="1"/>
    <x v="1"/>
  </r>
  <r>
    <x v="8"/>
    <x v="54"/>
    <n v="1"/>
    <n v="220"/>
    <n v="180"/>
    <n v="40"/>
    <x v="1"/>
    <x v="1"/>
  </r>
  <r>
    <x v="8"/>
    <x v="55"/>
    <n v="15"/>
    <n v="4"/>
    <n v="1.6"/>
    <n v="36"/>
    <x v="1"/>
    <x v="1"/>
  </r>
  <r>
    <x v="9"/>
    <x v="56"/>
    <n v="3"/>
    <n v="320"/>
    <n v="295"/>
    <n v="75"/>
    <x v="2"/>
    <x v="1"/>
  </r>
  <r>
    <x v="9"/>
    <x v="57"/>
    <n v="1"/>
    <n v="400"/>
    <n v="330"/>
    <n v="70"/>
    <x v="2"/>
    <x v="1"/>
  </r>
  <r>
    <x v="9"/>
    <x v="58"/>
    <n v="3"/>
    <n v="800"/>
    <n v="710"/>
    <n v="270"/>
    <x v="2"/>
    <x v="1"/>
  </r>
  <r>
    <x v="9"/>
    <x v="59"/>
    <n v="12"/>
    <n v="10"/>
    <n v="9.1"/>
    <n v="10.800000000000004"/>
    <x v="2"/>
    <x v="1"/>
  </r>
  <r>
    <x v="9"/>
    <x v="60"/>
    <n v="10"/>
    <n v="10"/>
    <n v="7"/>
    <n v="30"/>
    <x v="2"/>
    <x v="1"/>
  </r>
  <r>
    <x v="9"/>
    <x v="61"/>
    <n v="2"/>
    <n v="140"/>
    <n v="105"/>
    <n v="70"/>
    <x v="2"/>
    <x v="1"/>
  </r>
  <r>
    <x v="9"/>
    <x v="62"/>
    <n v="2"/>
    <n v="260"/>
    <n v="219"/>
    <n v="82"/>
    <x v="2"/>
    <x v="1"/>
  </r>
  <r>
    <x v="10"/>
    <x v="51"/>
    <n v="8"/>
    <n v="168"/>
    <n v="152.6"/>
    <n v="123.20000000000005"/>
    <x v="3"/>
    <x v="1"/>
  </r>
  <r>
    <x v="10"/>
    <x v="52"/>
    <n v="15"/>
    <n v="14.5"/>
    <n v="12.5"/>
    <n v="30"/>
    <x v="3"/>
    <x v="1"/>
  </r>
  <r>
    <x v="10"/>
    <x v="63"/>
    <n v="4"/>
    <n v="60"/>
    <n v="52"/>
    <n v="32"/>
    <x v="3"/>
    <x v="1"/>
  </r>
  <r>
    <x v="10"/>
    <x v="64"/>
    <n v="2"/>
    <n v="20"/>
    <n v="13"/>
    <n v="14"/>
    <x v="3"/>
    <x v="1"/>
  </r>
  <r>
    <x v="10"/>
    <x v="65"/>
    <n v="2"/>
    <n v="40"/>
    <n v="31.5"/>
    <n v="17"/>
    <x v="3"/>
    <x v="1"/>
  </r>
  <r>
    <x v="10"/>
    <x v="66"/>
    <n v="2"/>
    <n v="90"/>
    <n v="75"/>
    <n v="30"/>
    <x v="3"/>
    <x v="1"/>
  </r>
  <r>
    <x v="10"/>
    <x v="67"/>
    <n v="1"/>
    <n v="110"/>
    <n v="92"/>
    <n v="18"/>
    <x v="3"/>
    <x v="1"/>
  </r>
  <r>
    <x v="10"/>
    <x v="2"/>
    <n v="1"/>
    <n v="235"/>
    <n v="197"/>
    <n v="38"/>
    <x v="3"/>
    <x v="1"/>
  </r>
  <r>
    <x v="10"/>
    <x v="54"/>
    <n v="1"/>
    <n v="220"/>
    <n v="180"/>
    <n v="40"/>
    <x v="3"/>
    <x v="1"/>
  </r>
  <r>
    <x v="10"/>
    <x v="60"/>
    <n v="10"/>
    <n v="10"/>
    <n v="7"/>
    <n v="30"/>
    <x v="3"/>
    <x v="1"/>
  </r>
  <r>
    <x v="10"/>
    <x v="59"/>
    <n v="4"/>
    <n v="10"/>
    <n v="9.1999999999999993"/>
    <n v="3.2000000000000028"/>
    <x v="3"/>
    <x v="1"/>
  </r>
  <r>
    <x v="10"/>
    <x v="55"/>
    <n v="24"/>
    <n v="3.5"/>
    <n v="1.6"/>
    <n v="45.599999999999994"/>
    <x v="3"/>
    <x v="1"/>
  </r>
  <r>
    <x v="11"/>
    <x v="16"/>
    <n v="2"/>
    <n v="325"/>
    <n v="297"/>
    <n v="56"/>
    <x v="4"/>
    <x v="1"/>
  </r>
  <r>
    <x v="11"/>
    <x v="18"/>
    <n v="6"/>
    <n v="60"/>
    <n v="49"/>
    <n v="66"/>
    <x v="4"/>
    <x v="1"/>
  </r>
  <r>
    <x v="11"/>
    <x v="68"/>
    <n v="2"/>
    <n v="160"/>
    <n v="143"/>
    <n v="34"/>
    <x v="4"/>
    <x v="1"/>
  </r>
  <r>
    <x v="11"/>
    <x v="69"/>
    <n v="2"/>
    <n v="60"/>
    <n v="47.5"/>
    <n v="25"/>
    <x v="4"/>
    <x v="1"/>
  </r>
  <r>
    <x v="11"/>
    <x v="70"/>
    <n v="2"/>
    <n v="40"/>
    <n v="22"/>
    <n v="36"/>
    <x v="4"/>
    <x v="1"/>
  </r>
  <r>
    <x v="11"/>
    <x v="71"/>
    <n v="2"/>
    <n v="130"/>
    <n v="93"/>
    <n v="74"/>
    <x v="4"/>
    <x v="1"/>
  </r>
  <r>
    <x v="11"/>
    <x v="34"/>
    <n v="12"/>
    <n v="15"/>
    <n v="9.6"/>
    <n v="64.800000000000011"/>
    <x v="4"/>
    <x v="1"/>
  </r>
  <r>
    <x v="11"/>
    <x v="33"/>
    <n v="7"/>
    <n v="50"/>
    <n v="36.5"/>
    <n v="94.5"/>
    <x v="4"/>
    <x v="1"/>
  </r>
  <r>
    <x v="12"/>
    <x v="72"/>
    <n v="1"/>
    <n v="1100"/>
    <n v="980"/>
    <n v="120"/>
    <x v="5"/>
    <x v="1"/>
  </r>
  <r>
    <x v="12"/>
    <x v="9"/>
    <n v="4"/>
    <n v="550"/>
    <n v="523.5"/>
    <n v="106"/>
    <x v="5"/>
    <x v="1"/>
  </r>
  <r>
    <x v="12"/>
    <x v="73"/>
    <n v="1"/>
    <n v="380"/>
    <n v="335"/>
    <n v="45"/>
    <x v="5"/>
    <x v="1"/>
  </r>
  <r>
    <x v="12"/>
    <x v="74"/>
    <n v="1"/>
    <n v="50"/>
    <n v="22"/>
    <n v="28"/>
    <x v="5"/>
    <x v="1"/>
  </r>
  <r>
    <x v="12"/>
    <x v="75"/>
    <n v="1"/>
    <n v="60"/>
    <n v="46"/>
    <n v="14"/>
    <x v="5"/>
    <x v="1"/>
  </r>
  <r>
    <x v="12"/>
    <x v="7"/>
    <n v="5"/>
    <n v="60"/>
    <n v="42"/>
    <n v="90"/>
    <x v="5"/>
    <x v="1"/>
  </r>
  <r>
    <x v="12"/>
    <x v="8"/>
    <n v="1"/>
    <n v="60"/>
    <n v="47.5"/>
    <n v="12.5"/>
    <x v="5"/>
    <x v="1"/>
  </r>
  <r>
    <x v="12"/>
    <x v="76"/>
    <n v="1"/>
    <n v="140"/>
    <n v="98"/>
    <n v="42"/>
    <x v="5"/>
    <x v="1"/>
  </r>
  <r>
    <x v="13"/>
    <x v="15"/>
    <n v="1"/>
    <n v="450"/>
    <n v="376"/>
    <n v="74"/>
    <x v="6"/>
    <x v="1"/>
  </r>
  <r>
    <x v="13"/>
    <x v="0"/>
    <n v="5"/>
    <n v="280"/>
    <n v="255"/>
    <n v="125"/>
    <x v="6"/>
    <x v="1"/>
  </r>
  <r>
    <x v="13"/>
    <x v="66"/>
    <n v="1"/>
    <n v="120"/>
    <n v="88"/>
    <n v="32"/>
    <x v="6"/>
    <x v="1"/>
  </r>
  <r>
    <x v="13"/>
    <x v="2"/>
    <n v="1"/>
    <n v="240"/>
    <n v="215"/>
    <n v="25"/>
    <x v="6"/>
    <x v="1"/>
  </r>
  <r>
    <x v="13"/>
    <x v="77"/>
    <n v="2"/>
    <n v="45"/>
    <n v="36.9"/>
    <n v="16.200000000000003"/>
    <x v="6"/>
    <x v="1"/>
  </r>
  <r>
    <x v="13"/>
    <x v="75"/>
    <n v="1"/>
    <n v="90"/>
    <n v="65"/>
    <n v="25"/>
    <x v="6"/>
    <x v="1"/>
  </r>
  <r>
    <x v="13"/>
    <x v="78"/>
    <n v="1"/>
    <n v="1600"/>
    <n v="1440"/>
    <n v="160"/>
    <x v="6"/>
    <x v="1"/>
  </r>
  <r>
    <x v="13"/>
    <x v="79"/>
    <n v="3"/>
    <n v="15"/>
    <n v="9.8000000000000007"/>
    <n v="15.599999999999998"/>
    <x v="6"/>
    <x v="1"/>
  </r>
  <r>
    <x v="13"/>
    <x v="80"/>
    <n v="5"/>
    <n v="15"/>
    <n v="11"/>
    <n v="20"/>
    <x v="6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9195C2F-DAB4-4D2B-A2CF-5F25566AB21A}" name="PivotTable2" cacheId="1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N4:O50" firstHeaderRow="1" firstDataRow="1" firstDataCol="1" rowPageCount="1" colPageCount="1"/>
  <pivotFields count="8">
    <pivotField compact="0" outline="0" showAll="0"/>
    <pivotField axis="axisRow" compact="0" outline="0" showAll="0" sortType="descending">
      <items count="83">
        <item m="1" x="81"/>
        <item x="27"/>
        <item x="25"/>
        <item x="7"/>
        <item x="15"/>
        <item x="43"/>
        <item x="24"/>
        <item x="13"/>
        <item x="4"/>
        <item x="30"/>
        <item x="6"/>
        <item x="31"/>
        <item x="44"/>
        <item x="14"/>
        <item x="1"/>
        <item x="35"/>
        <item x="3"/>
        <item x="32"/>
        <item x="33"/>
        <item x="23"/>
        <item x="5"/>
        <item x="22"/>
        <item x="37"/>
        <item x="12"/>
        <item x="9"/>
        <item x="10"/>
        <item x="34"/>
        <item x="11"/>
        <item x="42"/>
        <item x="41"/>
        <item x="19"/>
        <item x="16"/>
        <item x="20"/>
        <item x="21"/>
        <item x="17"/>
        <item x="8"/>
        <item x="18"/>
        <item x="40"/>
        <item x="39"/>
        <item x="26"/>
        <item x="36"/>
        <item x="38"/>
        <item x="0"/>
        <item x="28"/>
        <item x="29"/>
        <item x="2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dataField="1" compact="0" numFmtId="164" outline="0" showAll="0"/>
    <pivotField compact="0" outline="0" showAll="0"/>
    <pivotField axis="axisPage" compact="0" outline="0" showAll="0">
      <items count="4">
        <item x="0"/>
        <item h="1" x="1"/>
        <item h="1" m="1" x="2"/>
        <item t="default"/>
      </items>
    </pivotField>
  </pivotFields>
  <rowFields count="1">
    <field x="1"/>
  </rowFields>
  <rowItems count="46">
    <i>
      <x v="16"/>
    </i>
    <i>
      <x v="4"/>
    </i>
    <i>
      <x v="6"/>
    </i>
    <i>
      <x v="42"/>
    </i>
    <i>
      <x v="17"/>
    </i>
    <i>
      <x v="24"/>
    </i>
    <i>
      <x v="3"/>
    </i>
    <i>
      <x v="14"/>
    </i>
    <i>
      <x v="43"/>
    </i>
    <i>
      <x v="39"/>
    </i>
    <i>
      <x v="19"/>
    </i>
    <i>
      <x v="27"/>
    </i>
    <i>
      <x v="9"/>
    </i>
    <i>
      <x v="15"/>
    </i>
    <i>
      <x v="25"/>
    </i>
    <i>
      <x v="29"/>
    </i>
    <i>
      <x v="10"/>
    </i>
    <i>
      <x v="31"/>
    </i>
    <i>
      <x v="8"/>
    </i>
    <i>
      <x v="34"/>
    </i>
    <i>
      <x v="40"/>
    </i>
    <i>
      <x v="45"/>
    </i>
    <i>
      <x v="11"/>
    </i>
    <i>
      <x v="36"/>
    </i>
    <i>
      <x v="21"/>
    </i>
    <i>
      <x v="38"/>
    </i>
    <i>
      <x v="22"/>
    </i>
    <i>
      <x v="2"/>
    </i>
    <i>
      <x v="37"/>
    </i>
    <i>
      <x v="30"/>
    </i>
    <i>
      <x v="33"/>
    </i>
    <i>
      <x v="18"/>
    </i>
    <i>
      <x v="23"/>
    </i>
    <i>
      <x v="7"/>
    </i>
    <i>
      <x v="1"/>
    </i>
    <i>
      <x v="44"/>
    </i>
    <i>
      <x v="32"/>
    </i>
    <i>
      <x v="41"/>
    </i>
    <i>
      <x v="26"/>
    </i>
    <i>
      <x v="28"/>
    </i>
    <i>
      <x v="13"/>
    </i>
    <i>
      <x v="12"/>
    </i>
    <i>
      <x v="35"/>
    </i>
    <i>
      <x v="5"/>
    </i>
    <i>
      <x v="20"/>
    </i>
    <i t="grand">
      <x/>
    </i>
  </rowItems>
  <colItems count="1">
    <i/>
  </colItems>
  <pageFields count="1">
    <pageField fld="7" item="0" hier="-1"/>
  </pageFields>
  <dataFields count="1">
    <dataField name="Total Profit" fld="5" baseField="0" baseItem="0" numFmtId="164"/>
  </dataFields>
  <formats count="70">
    <format dxfId="109">
      <pivotArea grandRow="1" outline="0" collapsedLevelsAreSubtotals="1" fieldPosition="0"/>
    </format>
    <format dxfId="110">
      <pivotArea grandRow="1" outline="0" collapsedLevelsAreSubtotals="1" fieldPosition="0"/>
    </format>
    <format dxfId="111">
      <pivotArea grandRow="1" outline="0" collapsedLevelsAreSubtotals="1" fieldPosition="0"/>
    </format>
    <format dxfId="112">
      <pivotArea grandRow="1" outline="0" collapsedLevelsAreSubtotals="1" fieldPosition="0"/>
    </format>
    <format dxfId="113">
      <pivotArea outline="0" collapsedLevelsAreSubtotals="1" fieldPosition="0"/>
    </format>
    <format dxfId="114">
      <pivotArea outline="0" collapsedLevelsAreSubtotals="1" fieldPosition="0"/>
    </format>
    <format dxfId="115">
      <pivotArea outline="0" collapsedLevelsAreSubtotals="1" fieldPosition="0"/>
    </format>
    <format dxfId="116">
      <pivotArea outline="0" collapsedLevelsAreSubtotals="1" fieldPosition="0"/>
    </format>
    <format dxfId="117">
      <pivotArea outline="0" collapsedLevelsAreSubtotals="1" fieldPosition="0"/>
    </format>
    <format dxfId="118">
      <pivotArea outline="0" collapsedLevelsAreSubtotals="1" fieldPosition="0"/>
    </format>
    <format dxfId="119">
      <pivotArea outline="0" collapsedLevelsAreSubtotals="1" fieldPosition="0"/>
    </format>
    <format dxfId="120">
      <pivotArea outline="0" collapsedLevelsAreSubtotals="1" fieldPosition="0"/>
    </format>
    <format dxfId="121">
      <pivotArea outline="0" collapsedLevelsAreSubtotals="1" fieldPosition="0"/>
    </format>
    <format dxfId="122">
      <pivotArea outline="0" collapsedLevelsAreSubtotals="1" fieldPosition="0"/>
    </format>
    <format dxfId="123">
      <pivotArea outline="0" collapsedLevelsAreSubtotals="1" fieldPosition="0"/>
    </format>
    <format dxfId="124">
      <pivotArea outline="0" collapsedLevelsAreSubtotals="1" fieldPosition="0"/>
    </format>
    <format dxfId="125">
      <pivotArea grandRow="1" outline="0" collapsedLevelsAreSubtotals="1" fieldPosition="0"/>
    </format>
    <format dxfId="126">
      <pivotArea grandRow="1" outline="0" collapsedLevelsAreSubtotals="1" fieldPosition="0"/>
    </format>
    <format dxfId="127">
      <pivotArea dataOnly="0" labelOnly="1" outline="0" axis="axisValues" fieldPosition="0"/>
    </format>
    <format dxfId="128">
      <pivotArea dataOnly="0" labelOnly="1" outline="0" axis="axisValues" fieldPosition="0"/>
    </format>
    <format dxfId="129">
      <pivotArea outline="0" collapsedLevelsAreSubtotals="1" fieldPosition="0"/>
    </format>
    <format dxfId="130">
      <pivotArea dataOnly="0" labelOnly="1" outline="0" fieldPosition="0">
        <references count="1">
          <reference field="7" count="1">
            <x v="0"/>
          </reference>
        </references>
      </pivotArea>
    </format>
    <format dxfId="131">
      <pivotArea dataOnly="0" labelOnly="1" outline="0" axis="axisValues" fieldPosition="0"/>
    </format>
    <format dxfId="132">
      <pivotArea outline="0" collapsedLevelsAreSubtotals="1" fieldPosition="0"/>
    </format>
    <format dxfId="133">
      <pivotArea dataOnly="0" labelOnly="1" outline="0" fieldPosition="0">
        <references count="1">
          <reference field="7" count="1">
            <x v="0"/>
          </reference>
        </references>
      </pivotArea>
    </format>
    <format dxfId="134">
      <pivotArea dataOnly="0" labelOnly="1" outline="0" axis="axisValues" fieldPosition="0"/>
    </format>
    <format dxfId="135">
      <pivotArea type="all" dataOnly="0" outline="0" fieldPosition="0"/>
    </format>
    <format dxfId="136">
      <pivotArea outline="0" collapsedLevelsAreSubtotals="1" fieldPosition="0"/>
    </format>
    <format dxfId="137">
      <pivotArea field="1" type="button" dataOnly="0" labelOnly="1" outline="0" axis="axisRow" fieldPosition="0"/>
    </format>
    <format dxfId="138">
      <pivotArea dataOnly="0" labelOnly="1" outline="0" fieldPosition="0">
        <references count="1">
          <reference field="1" count="45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</references>
      </pivotArea>
    </format>
    <format dxfId="139">
      <pivotArea dataOnly="0" labelOnly="1" grandRow="1" outline="0" fieldPosition="0"/>
    </format>
    <format dxfId="140">
      <pivotArea dataOnly="0" labelOnly="1" outline="0" axis="axisValues" fieldPosition="0"/>
    </format>
    <format dxfId="141">
      <pivotArea type="all" dataOnly="0" outline="0" fieldPosition="0"/>
    </format>
    <format dxfId="142">
      <pivotArea outline="0" collapsedLevelsAreSubtotals="1" fieldPosition="0"/>
    </format>
    <format dxfId="143">
      <pivotArea field="1" type="button" dataOnly="0" labelOnly="1" outline="0" axis="axisRow" fieldPosition="0"/>
    </format>
    <format dxfId="144">
      <pivotArea dataOnly="0" labelOnly="1" outline="0" axis="axisValues" fieldPosition="0"/>
    </format>
    <format dxfId="145">
      <pivotArea dataOnly="0" labelOnly="1" outline="0" fieldPosition="0">
        <references count="1">
          <reference field="1" count="45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</references>
      </pivotArea>
    </format>
    <format dxfId="146">
      <pivotArea dataOnly="0" labelOnly="1" grandRow="1" outline="0" fieldPosition="0"/>
    </format>
    <format dxfId="147">
      <pivotArea dataOnly="0" labelOnly="1" outline="0" axis="axisValues" fieldPosition="0"/>
    </format>
    <format dxfId="148">
      <pivotArea type="all" dataOnly="0" outline="0" fieldPosition="0"/>
    </format>
    <format dxfId="149">
      <pivotArea outline="0" collapsedLevelsAreSubtotals="1" fieldPosition="0"/>
    </format>
    <format dxfId="150">
      <pivotArea field="1" type="button" dataOnly="0" labelOnly="1" outline="0" axis="axisRow" fieldPosition="0"/>
    </format>
    <format dxfId="151">
      <pivotArea dataOnly="0" labelOnly="1" outline="0" axis="axisValues" fieldPosition="0"/>
    </format>
    <format dxfId="152">
      <pivotArea dataOnly="0" labelOnly="1" outline="0" fieldPosition="0">
        <references count="1">
          <reference field="1" count="45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</references>
      </pivotArea>
    </format>
    <format dxfId="153">
      <pivotArea dataOnly="0" labelOnly="1" grandRow="1" outline="0" fieldPosition="0"/>
    </format>
    <format dxfId="154">
      <pivotArea dataOnly="0" labelOnly="1" outline="0" axis="axisValues" fieldPosition="0"/>
    </format>
    <format dxfId="155">
      <pivotArea outline="0" fieldPosition="0">
        <references count="1">
          <reference field="1" count="45" selected="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</references>
      </pivotArea>
    </format>
    <format dxfId="156">
      <pivotArea outline="0" fieldPosition="0">
        <references count="1">
          <reference field="1" count="45" selected="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</references>
      </pivotArea>
    </format>
    <format dxfId="157">
      <pivotArea outline="0" fieldPosition="0">
        <references count="1">
          <reference field="1" count="45" selected="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</references>
      </pivotArea>
    </format>
    <format dxfId="158">
      <pivotArea outline="0" fieldPosition="0">
        <references count="1">
          <reference field="1" count="45" selected="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</references>
      </pivotArea>
    </format>
    <format dxfId="159">
      <pivotArea outline="0" fieldPosition="0">
        <references count="1">
          <reference field="1" count="45" selected="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</references>
      </pivotArea>
    </format>
    <format dxfId="160">
      <pivotArea outline="0" fieldPosition="0">
        <references count="1">
          <reference field="1" count="45" selected="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</references>
      </pivotArea>
    </format>
    <format dxfId="161">
      <pivotArea outline="0" fieldPosition="0">
        <references count="1">
          <reference field="1" count="45" selected="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</references>
      </pivotArea>
    </format>
    <format dxfId="162">
      <pivotArea outline="0" fieldPosition="0">
        <references count="1">
          <reference field="1" count="45" selected="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</references>
      </pivotArea>
    </format>
    <format dxfId="163">
      <pivotArea outline="0" fieldPosition="0">
        <references count="1">
          <reference field="1" count="45" selected="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</references>
      </pivotArea>
    </format>
    <format dxfId="164">
      <pivotArea outline="0" fieldPosition="0">
        <references count="1">
          <reference field="1" count="45" selected="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</references>
      </pivotArea>
    </format>
    <format dxfId="165">
      <pivotArea outline="0" fieldPosition="0">
        <references count="1">
          <reference field="1" count="45" selected="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</references>
      </pivotArea>
    </format>
    <format dxfId="166">
      <pivotArea outline="0" fieldPosition="0">
        <references count="1">
          <reference field="1" count="45" selected="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</references>
      </pivotArea>
    </format>
    <format dxfId="167">
      <pivotArea outline="0" fieldPosition="0">
        <references count="1">
          <reference field="1" count="45" selected="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</references>
      </pivotArea>
    </format>
    <format dxfId="168">
      <pivotArea outline="0" fieldPosition="0">
        <references count="1">
          <reference field="1" count="45" selected="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</references>
      </pivotArea>
    </format>
    <format dxfId="169">
      <pivotArea outline="0" fieldPosition="0">
        <references count="1">
          <reference field="1" count="45" selected="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</references>
      </pivotArea>
    </format>
    <format dxfId="170">
      <pivotArea outline="0" fieldPosition="0">
        <references count="1">
          <reference field="1" count="45" selected="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</references>
      </pivotArea>
    </format>
    <format dxfId="171">
      <pivotArea outline="0" fieldPosition="0">
        <references count="1">
          <reference field="1" count="45" selected="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</references>
      </pivotArea>
    </format>
    <format dxfId="172">
      <pivotArea outline="0" fieldPosition="0">
        <references count="1">
          <reference field="1" count="45" selected="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</references>
      </pivotArea>
    </format>
    <format dxfId="173">
      <pivotArea outline="0" fieldPosition="0">
        <references count="1">
          <reference field="1" count="45" selected="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</references>
      </pivotArea>
    </format>
    <format dxfId="174">
      <pivotArea outline="0" fieldPosition="0">
        <references count="1">
          <reference field="1" count="45" selected="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</references>
      </pivotArea>
    </format>
    <format dxfId="175">
      <pivotArea outline="0" fieldPosition="0">
        <references count="1">
          <reference field="1" count="45" selected="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</references>
      </pivotArea>
    </format>
    <format dxfId="176">
      <pivotArea outline="0" fieldPosition="0">
        <references count="1">
          <reference field="1" count="45" selected="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</references>
      </pivotArea>
    </format>
    <format dxfId="177">
      <pivotArea outline="0" fieldPosition="0">
        <references count="1">
          <reference field="1" count="45" selected="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</references>
      </pivotArea>
    </format>
    <format dxfId="178">
      <pivotArea outline="0" fieldPosition="0">
        <references count="1">
          <reference field="1" count="45" selected="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EF2B841-6653-4101-B413-D6191E362FD4}" name="PivotTable1" cacheId="1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E4:F12" firstHeaderRow="1" firstDataRow="1" firstDataCol="1" rowPageCount="1" colPageCount="1"/>
  <pivotFields count="8">
    <pivotField axis="axisRow"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4" outline="0" showAll="0"/>
    <pivotField compact="0" outline="0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Page" compact="0" outline="0" showAll="0">
      <items count="4">
        <item x="0"/>
        <item h="1" x="1"/>
        <item h="1" m="1" x="2"/>
        <item t="default"/>
      </items>
    </pivotField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pageFields count="1">
    <pageField fld="7" item="0" hier="-1"/>
  </pageFields>
  <dataFields count="1">
    <dataField name="Daily Profit" fld="5" baseField="0" baseItem="0" numFmtId="164"/>
  </dataFields>
  <formats count="67">
    <format dxfId="42">
      <pivotArea field="6" type="button" dataOnly="0" labelOnly="1" outline="0"/>
    </format>
    <format dxfId="43">
      <pivotArea dataOnly="0" labelOnly="1" outline="0" axis="axisValues" fieldPosition="0"/>
    </format>
    <format dxfId="44">
      <pivotArea field="6" type="button" dataOnly="0" labelOnly="1" outline="0"/>
    </format>
    <format dxfId="45">
      <pivotArea dataOnly="0" labelOnly="1" outline="0" axis="axisValues" fieldPosition="0"/>
    </format>
    <format dxfId="46">
      <pivotArea field="6" type="button" dataOnly="0" labelOnly="1" outline="0"/>
    </format>
    <format dxfId="47">
      <pivotArea dataOnly="0" labelOnly="1" outline="0" axis="axisValues" fieldPosition="0"/>
    </format>
    <format dxfId="48">
      <pivotArea dataOnly="0" labelOnly="1" outline="0" axis="axisValues" fieldPosition="0"/>
    </format>
    <format dxfId="49">
      <pivotArea field="6" type="button" dataOnly="0" labelOnly="1" outline="0"/>
    </format>
    <format dxfId="50">
      <pivotArea dataOnly="0" labelOnly="1" outline="0" axis="axisValues" fieldPosition="0"/>
    </format>
    <format dxfId="51">
      <pivotArea dataOnly="0" labelOnly="1" outline="0" axis="axisValues" fieldPosition="0"/>
    </format>
    <format dxfId="52">
      <pivotArea outline="0" collapsedLevelsAreSubtotals="1" fieldPosition="0"/>
    </format>
    <format dxfId="53">
      <pivotArea dataOnly="0" labelOnly="1" grandRow="1" outline="0" fieldPosition="0"/>
    </format>
    <format dxfId="54">
      <pivotArea outline="0" collapsedLevelsAreSubtotals="1" fieldPosition="0"/>
    </format>
    <format dxfId="55">
      <pivotArea dataOnly="0" labelOnly="1" grandRow="1" outline="0" fieldPosition="0"/>
    </format>
    <format dxfId="56">
      <pivotArea outline="0" collapsedLevelsAreSubtotals="1" fieldPosition="0"/>
    </format>
    <format dxfId="57">
      <pivotArea dataOnly="0" labelOnly="1" grandRow="1" outline="0" fieldPosition="0"/>
    </format>
    <format dxfId="58">
      <pivotArea outline="0" collapsedLevelsAreSubtotals="1" fieldPosition="0"/>
    </format>
    <format dxfId="59">
      <pivotArea dataOnly="0" labelOnly="1" grandRow="1" outline="0" fieldPosition="0"/>
    </format>
    <format dxfId="60">
      <pivotArea outline="0" collapsedLevelsAreSubtotals="1" fieldPosition="0"/>
    </format>
    <format dxfId="61">
      <pivotArea dataOnly="0" labelOnly="1" grandRow="1" outline="0" fieldPosition="0"/>
    </format>
    <format dxfId="62">
      <pivotArea outline="0" collapsedLevelsAreSubtotals="1" fieldPosition="0"/>
    </format>
    <format dxfId="63">
      <pivotArea dataOnly="0" labelOnly="1" grandRow="1" outline="0" fieldPosition="0"/>
    </format>
    <format dxfId="64">
      <pivotArea outline="0" collapsedLevelsAreSubtotals="1" fieldPosition="0"/>
    </format>
    <format dxfId="65">
      <pivotArea dataOnly="0" labelOnly="1" grandRow="1" outline="0" fieldPosition="0"/>
    </format>
    <format dxfId="66">
      <pivotArea outline="0" collapsedLevelsAreSubtotals="1" fieldPosition="0"/>
    </format>
    <format dxfId="67">
      <pivotArea dataOnly="0" labelOnly="1" grandRow="1" outline="0" fieldPosition="0"/>
    </format>
    <format dxfId="68">
      <pivotArea outline="0" collapsedLevelsAreSubtotals="1" fieldPosition="0"/>
    </format>
    <format dxfId="69">
      <pivotArea outline="0" collapsedLevelsAreSubtotals="1" fieldPosition="0"/>
    </format>
    <format dxfId="70">
      <pivotArea outline="0" collapsedLevelsAreSubtotals="1" fieldPosition="0"/>
    </format>
    <format dxfId="71">
      <pivotArea outline="0" collapsedLevelsAreSubtotals="1" fieldPosition="0"/>
    </format>
    <format dxfId="72">
      <pivotArea outline="0" collapsedLevelsAreSubtotals="1" fieldPosition="0"/>
    </format>
    <format dxfId="73">
      <pivotArea outline="0" collapsedLevelsAreSubtotals="1" fieldPosition="0"/>
    </format>
    <format dxfId="74">
      <pivotArea outline="0" collapsedLevelsAreSubtotals="1" fieldPosition="0"/>
    </format>
    <format dxfId="75">
      <pivotArea outline="0" collapsedLevelsAreSubtotals="1" fieldPosition="0"/>
    </format>
    <format dxfId="76">
      <pivotArea outline="0" collapsedLevelsAreSubtotals="1" fieldPosition="0"/>
    </format>
    <format dxfId="77">
      <pivotArea outline="0" collapsedLevelsAreSubtotals="1" fieldPosition="0"/>
    </format>
    <format dxfId="78">
      <pivotArea outline="0" collapsedLevelsAreSubtotals="1" fieldPosition="0"/>
    </format>
    <format dxfId="79">
      <pivotArea outline="0" collapsedLevelsAreSubtotals="1" fieldPosition="0"/>
    </format>
    <format dxfId="80">
      <pivotArea outline="0" collapsedLevelsAreSubtotals="1" fieldPosition="0"/>
    </format>
    <format dxfId="81">
      <pivotArea dataOnly="0" labelOnly="1" outline="0" axis="axisValues" fieldPosition="0"/>
    </format>
    <format dxfId="82">
      <pivotArea dataOnly="0" labelOnly="1" outline="0" axis="axisValues" fieldPosition="0"/>
    </format>
    <format dxfId="83">
      <pivotArea outline="0" collapsedLevelsAreSubtotals="1" fieldPosition="0"/>
    </format>
    <format dxfId="84">
      <pivotArea dataOnly="0" labelOnly="1" grandRow="1" outline="0" fieldPosition="0"/>
    </format>
    <format dxfId="85">
      <pivotArea type="all" dataOnly="0" outline="0" fieldPosition="0"/>
    </format>
    <format dxfId="86">
      <pivotArea outline="0" collapsedLevelsAreSubtotals="1" fieldPosition="0"/>
    </format>
    <format dxfId="87">
      <pivotArea field="6" type="button" dataOnly="0" labelOnly="1" outline="0"/>
    </format>
    <format dxfId="88">
      <pivotArea dataOnly="0" labelOnly="1" grandRow="1" outline="0" fieldPosition="0"/>
    </format>
    <format dxfId="89">
      <pivotArea dataOnly="0" labelOnly="1" outline="0" axis="axisValues" fieldPosition="0"/>
    </format>
    <format dxfId="90">
      <pivotArea dataOnly="0" labelOnly="1" outline="0" axis="axisValues" fieldPosition="0"/>
    </format>
    <format dxfId="91">
      <pivotArea dataOnly="0" labelOnly="1" outline="0" axis="axisValues" fieldPosition="0"/>
    </format>
    <format dxfId="92">
      <pivotArea dataOnly="0" labelOnly="1" outline="0" axis="axisValues" fieldPosition="0"/>
    </format>
    <format dxfId="93">
      <pivotArea dataOnly="0" labelOnly="1" outline="0" axis="axisValues" fieldPosition="0"/>
    </format>
    <format dxfId="94">
      <pivotArea grandRow="1" outline="0" collapsedLevelsAreSubtotals="1" fieldPosition="0"/>
    </format>
    <format dxfId="95">
      <pivotArea grandRow="1" outline="0" collapsedLevelsAreSubtotals="1" fieldPosition="0"/>
    </format>
    <format dxfId="96">
      <pivotArea dataOnly="0" labelOnly="1" outline="0" axis="axisValues" fieldPosition="0"/>
    </format>
    <format dxfId="97">
      <pivotArea dataOnly="0" labelOnly="1" outline="0" axis="axisValues" fieldPosition="0"/>
    </format>
    <format dxfId="98">
      <pivotArea dataOnly="0" labelOnly="1" outline="0" axis="axisValues" fieldPosition="0"/>
    </format>
    <format dxfId="99">
      <pivotArea dataOnly="0" labelOnly="1" outline="0" fieldPosition="0">
        <references count="1">
          <reference field="0" count="7">
            <x v="0"/>
            <x v="1"/>
            <x v="2"/>
            <x v="3"/>
            <x v="4"/>
            <x v="5"/>
            <x v="6"/>
          </reference>
        </references>
      </pivotArea>
    </format>
    <format dxfId="100">
      <pivotArea field="0" type="button" dataOnly="0" labelOnly="1" outline="0" axis="axisRow" fieldPosition="0"/>
    </format>
    <format dxfId="101">
      <pivotArea dataOnly="0" labelOnly="1" outline="0" axis="axisValues" fieldPosition="0"/>
    </format>
    <format dxfId="102">
      <pivotArea dataOnly="0" labelOnly="1" outline="0" axis="axisValues" fieldPosition="0"/>
    </format>
    <format dxfId="103">
      <pivotArea dataOnly="0" labelOnly="1" outline="0" axis="axisValues" fieldPosition="0"/>
    </format>
    <format dxfId="104">
      <pivotArea dataOnly="0" labelOnly="1" outline="0" axis="axisValues" fieldPosition="0"/>
    </format>
    <format dxfId="105">
      <pivotArea dataOnly="0" labelOnly="1" outline="0" axis="axisValues" fieldPosition="0"/>
    </format>
    <format dxfId="106">
      <pivotArea dataOnly="0" labelOnly="1" outline="0" axis="axisValues" fieldPosition="0"/>
    </format>
    <format dxfId="107">
      <pivotArea dataOnly="0" labelOnly="1" outline="0" axis="axisValues" fieldPosition="0"/>
    </format>
    <format dxfId="108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5E6BD25-FB00-4E73-B338-12E63E2BFB3F}" name="PivotTable3" cacheId="1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X4:Y50" firstHeaderRow="1" firstDataRow="1" firstDataCol="1" rowPageCount="1" colPageCount="1"/>
  <pivotFields count="8">
    <pivotField compact="0" outline="0" showAll="0"/>
    <pivotField axis="axisRow" compact="0" outline="0" showAll="0" sortType="descending">
      <items count="83">
        <item x="2"/>
        <item x="29"/>
        <item x="28"/>
        <item x="0"/>
        <item x="38"/>
        <item x="36"/>
        <item x="26"/>
        <item x="39"/>
        <item x="40"/>
        <item x="18"/>
        <item x="8"/>
        <item x="17"/>
        <item x="21"/>
        <item x="20"/>
        <item x="16"/>
        <item x="19"/>
        <item x="41"/>
        <item x="42"/>
        <item x="11"/>
        <item x="34"/>
        <item x="10"/>
        <item x="9"/>
        <item x="12"/>
        <item x="37"/>
        <item x="22"/>
        <item x="5"/>
        <item x="23"/>
        <item x="33"/>
        <item x="32"/>
        <item x="3"/>
        <item x="35"/>
        <item x="1"/>
        <item x="14"/>
        <item x="44"/>
        <item x="31"/>
        <item x="6"/>
        <item x="30"/>
        <item x="4"/>
        <item x="13"/>
        <item x="24"/>
        <item x="43"/>
        <item x="15"/>
        <item x="7"/>
        <item x="25"/>
        <item x="27"/>
        <item m="1" x="81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compact="0" outline="0" showAll="0"/>
    <pivotField compact="0" outline="0" showAll="0"/>
    <pivotField compact="0" outline="0" showAll="0"/>
    <pivotField compact="0" numFmtId="164" outline="0" showAll="0"/>
    <pivotField compact="0" outline="0" showAll="0"/>
    <pivotField axis="axisPage" compact="0" outline="0" showAll="0">
      <items count="4">
        <item x="0"/>
        <item h="1" x="1"/>
        <item h="1" m="1" x="2"/>
        <item t="default"/>
      </items>
    </pivotField>
  </pivotFields>
  <rowFields count="1">
    <field x="1"/>
  </rowFields>
  <rowItems count="46">
    <i>
      <x v="19"/>
    </i>
    <i>
      <x v="34"/>
    </i>
    <i>
      <x v="2"/>
    </i>
    <i>
      <x v="3"/>
    </i>
    <i>
      <x v="42"/>
    </i>
    <i>
      <x v="37"/>
    </i>
    <i>
      <x v="25"/>
    </i>
    <i>
      <x v="1"/>
    </i>
    <i>
      <x v="32"/>
    </i>
    <i>
      <x v="9"/>
    </i>
    <i>
      <x v="20"/>
    </i>
    <i>
      <x v="13"/>
    </i>
    <i>
      <x v="21"/>
    </i>
    <i>
      <x v="11"/>
    </i>
    <i>
      <x v="18"/>
    </i>
    <i>
      <x v="38"/>
    </i>
    <i>
      <x v="6"/>
    </i>
    <i>
      <x v="10"/>
    </i>
    <i>
      <x v="40"/>
    </i>
    <i>
      <x v="41"/>
    </i>
    <i>
      <x v="33"/>
    </i>
    <i>
      <x v="5"/>
    </i>
    <i>
      <x v="27"/>
    </i>
    <i>
      <x v="29"/>
    </i>
    <i>
      <x v="39"/>
    </i>
    <i>
      <x v="17"/>
    </i>
    <i>
      <x v="43"/>
    </i>
    <i>
      <x v="12"/>
    </i>
    <i>
      <x v="26"/>
    </i>
    <i>
      <x v="24"/>
    </i>
    <i>
      <x/>
    </i>
    <i>
      <x v="44"/>
    </i>
    <i>
      <x v="15"/>
    </i>
    <i>
      <x v="36"/>
    </i>
    <i>
      <x v="14"/>
    </i>
    <i>
      <x v="30"/>
    </i>
    <i>
      <x v="22"/>
    </i>
    <i>
      <x v="28"/>
    </i>
    <i>
      <x v="8"/>
    </i>
    <i>
      <x v="7"/>
    </i>
    <i>
      <x v="4"/>
    </i>
    <i>
      <x v="35"/>
    </i>
    <i>
      <x v="31"/>
    </i>
    <i>
      <x v="23"/>
    </i>
    <i>
      <x v="16"/>
    </i>
    <i t="grand">
      <x/>
    </i>
  </rowItems>
  <colItems count="1">
    <i/>
  </colItems>
  <pageFields count="1">
    <pageField fld="7" item="0" hier="-1"/>
  </pageFields>
  <dataFields count="1">
    <dataField name="Units Sold" fld="2" baseField="0" baseItem="0"/>
  </dataFields>
  <formats count="13">
    <format dxfId="29">
      <pivotArea outline="0" fieldPosition="0">
        <references count="1">
          <reference field="1" count="1" selected="0">
            <x v="19"/>
          </reference>
        </references>
      </pivotArea>
    </format>
    <format dxfId="30">
      <pivotArea outline="0" fieldPosition="0">
        <references count="1">
          <reference field="1" count="1" selected="0">
            <x v="19"/>
          </reference>
        </references>
      </pivotArea>
    </format>
    <format dxfId="31">
      <pivotArea outline="0" fieldPosition="0">
        <references count="1">
          <reference field="1" count="1" selected="0">
            <x v="19"/>
          </reference>
        </references>
      </pivotArea>
    </format>
    <format dxfId="32">
      <pivotArea outline="0" fieldPosition="0">
        <references count="1">
          <reference field="1" count="1" selected="0">
            <x v="19"/>
          </reference>
        </references>
      </pivotArea>
    </format>
    <format dxfId="33">
      <pivotArea outline="0" fieldPosition="0">
        <references count="1">
          <reference field="1" count="1" selected="0">
            <x v="19"/>
          </reference>
        </references>
      </pivotArea>
    </format>
    <format dxfId="34">
      <pivotArea outline="0" fieldPosition="0">
        <references count="1">
          <reference field="1" count="1" selected="0">
            <x v="19"/>
          </reference>
        </references>
      </pivotArea>
    </format>
    <format dxfId="35">
      <pivotArea outline="0" fieldPosition="0">
        <references count="1">
          <reference field="1" count="1" selected="0">
            <x v="19"/>
          </reference>
        </references>
      </pivotArea>
    </format>
    <format dxfId="36">
      <pivotArea type="all" dataOnly="0" outline="0" fieldPosition="0"/>
    </format>
    <format dxfId="37">
      <pivotArea outline="0" collapsedLevelsAreSubtotals="1" fieldPosition="0"/>
    </format>
    <format dxfId="38">
      <pivotArea field="1" type="button" dataOnly="0" labelOnly="1" outline="0" axis="axisRow" fieldPosition="0"/>
    </format>
    <format dxfId="39">
      <pivotArea dataOnly="0" labelOnly="1" outline="0" fieldPosition="0">
        <references count="1">
          <reference field="1" count="45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</reference>
        </references>
      </pivotArea>
    </format>
    <format dxfId="40">
      <pivotArea dataOnly="0" labelOnly="1" grandRow="1" outline="0" fieldPosition="0"/>
    </format>
    <format dxfId="41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21FFD4-F75A-4F5C-82F7-2D52587F76B0}" name="PivotTable3" cacheId="1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5">
  <location ref="Y4:Z55" firstHeaderRow="1" firstDataRow="1" firstDataCol="1" rowPageCount="1" colPageCount="1"/>
  <pivotFields count="8">
    <pivotField compact="0" numFmtId="14" outline="0" showAll="0"/>
    <pivotField axis="axisRow" compact="0" outline="0" showAll="0" sortType="descending">
      <items count="83">
        <item x="2"/>
        <item x="80"/>
        <item x="29"/>
        <item x="28"/>
        <item x="78"/>
        <item x="65"/>
        <item x="0"/>
        <item x="77"/>
        <item x="66"/>
        <item x="64"/>
        <item x="38"/>
        <item x="46"/>
        <item x="45"/>
        <item x="61"/>
        <item x="36"/>
        <item x="60"/>
        <item x="26"/>
        <item x="39"/>
        <item x="40"/>
        <item x="18"/>
        <item x="8"/>
        <item x="17"/>
        <item x="21"/>
        <item x="76"/>
        <item x="69"/>
        <item x="20"/>
        <item x="70"/>
        <item x="16"/>
        <item x="19"/>
        <item x="68"/>
        <item x="67"/>
        <item x="58"/>
        <item x="41"/>
        <item x="52"/>
        <item x="51"/>
        <item x="55"/>
        <item x="53"/>
        <item x="63"/>
        <item x="42"/>
        <item x="11"/>
        <item x="34"/>
        <item x="10"/>
        <item x="9"/>
        <item x="12"/>
        <item x="71"/>
        <item x="37"/>
        <item x="73"/>
        <item x="22"/>
        <item x="5"/>
        <item x="23"/>
        <item x="33"/>
        <item x="32"/>
        <item x="57"/>
        <item x="3"/>
        <item x="79"/>
        <item x="35"/>
        <item x="1"/>
        <item x="14"/>
        <item x="49"/>
        <item x="44"/>
        <item x="48"/>
        <item x="31"/>
        <item x="50"/>
        <item x="72"/>
        <item x="6"/>
        <item x="30"/>
        <item x="54"/>
        <item x="4"/>
        <item x="47"/>
        <item x="75"/>
        <item x="13"/>
        <item x="24"/>
        <item x="62"/>
        <item x="56"/>
        <item x="43"/>
        <item x="74"/>
        <item x="15"/>
        <item x="7"/>
        <item x="59"/>
        <item x="25"/>
        <item x="27"/>
        <item m="1" x="8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compact="0" outline="0" showAll="0"/>
    <pivotField compact="0" numFmtId="164" outline="0" showAll="0"/>
    <pivotField compact="0" numFmtId="164" outline="0" showAll="0"/>
    <pivotField compact="0" numFmtId="164" outline="0" showAll="0"/>
    <pivotField compact="0" outline="0" showAll="0"/>
    <pivotField axis="axisPage" compact="0" outline="0" showAll="0">
      <items count="4">
        <item h="1" x="0"/>
        <item x="1"/>
        <item m="1" x="2"/>
        <item t="default"/>
      </items>
    </pivotField>
  </pivotFields>
  <rowFields count="1">
    <field x="1"/>
  </rowFields>
  <rowItems count="51">
    <i>
      <x v="35"/>
    </i>
    <i>
      <x v="33"/>
    </i>
    <i>
      <x v="15"/>
    </i>
    <i>
      <x v="78"/>
    </i>
    <i>
      <x v="40"/>
    </i>
    <i>
      <x v="34"/>
    </i>
    <i>
      <x v="6"/>
    </i>
    <i>
      <x v="50"/>
    </i>
    <i>
      <x v="42"/>
    </i>
    <i>
      <x v="19"/>
    </i>
    <i>
      <x v="3"/>
    </i>
    <i>
      <x v="58"/>
    </i>
    <i>
      <x v="1"/>
    </i>
    <i>
      <x v="77"/>
    </i>
    <i>
      <x v="2"/>
    </i>
    <i>
      <x/>
    </i>
    <i>
      <x v="37"/>
    </i>
    <i>
      <x v="8"/>
    </i>
    <i>
      <x v="39"/>
    </i>
    <i>
      <x v="54"/>
    </i>
    <i>
      <x v="31"/>
    </i>
    <i>
      <x v="73"/>
    </i>
    <i>
      <x v="24"/>
    </i>
    <i>
      <x v="69"/>
    </i>
    <i>
      <x v="26"/>
    </i>
    <i>
      <x v="11"/>
    </i>
    <i>
      <x v="5"/>
    </i>
    <i>
      <x v="36"/>
    </i>
    <i>
      <x v="29"/>
    </i>
    <i>
      <x v="72"/>
    </i>
    <i>
      <x v="66"/>
    </i>
    <i>
      <x v="27"/>
    </i>
    <i>
      <x v="9"/>
    </i>
    <i>
      <x v="7"/>
    </i>
    <i>
      <x v="13"/>
    </i>
    <i>
      <x v="44"/>
    </i>
    <i>
      <x v="4"/>
    </i>
    <i>
      <x v="76"/>
    </i>
    <i>
      <x v="52"/>
    </i>
    <i>
      <x v="20"/>
    </i>
    <i>
      <x v="43"/>
    </i>
    <i>
      <x v="60"/>
    </i>
    <i>
      <x v="12"/>
    </i>
    <i>
      <x v="62"/>
    </i>
    <i>
      <x v="75"/>
    </i>
    <i>
      <x v="63"/>
    </i>
    <i>
      <x v="23"/>
    </i>
    <i>
      <x v="30"/>
    </i>
    <i>
      <x v="68"/>
    </i>
    <i>
      <x v="46"/>
    </i>
    <i t="grand">
      <x/>
    </i>
  </rowItems>
  <colItems count="1">
    <i/>
  </colItems>
  <pageFields count="1">
    <pageField fld="7" item="1" hier="-1"/>
  </pageFields>
  <dataFields count="1">
    <dataField name="Units Sold" fld="2" baseField="0" baseItem="0"/>
  </dataFields>
  <formats count="6">
    <format dxfId="23">
      <pivotArea type="all" dataOnly="0" outline="0" fieldPosition="0"/>
    </format>
    <format dxfId="24">
      <pivotArea outline="0" collapsedLevelsAreSubtotals="1" fieldPosition="0"/>
    </format>
    <format dxfId="25">
      <pivotArea field="1" type="button" dataOnly="0" labelOnly="1" outline="0" axis="axisRow" fieldPosition="0"/>
    </format>
    <format dxfId="26">
      <pivotArea dataOnly="0" labelOnly="1" outline="0" fieldPosition="0">
        <references count="1">
          <reference field="1" count="50">
            <x v="0"/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5"/>
            <x v="19"/>
            <x v="20"/>
            <x v="23"/>
            <x v="24"/>
            <x v="26"/>
            <x v="27"/>
            <x v="29"/>
            <x v="30"/>
            <x v="31"/>
            <x v="33"/>
            <x v="34"/>
            <x v="35"/>
            <x v="36"/>
            <x v="37"/>
            <x v="39"/>
            <x v="40"/>
            <x v="42"/>
            <x v="43"/>
            <x v="44"/>
            <x v="46"/>
            <x v="50"/>
            <x v="52"/>
            <x v="54"/>
            <x v="58"/>
            <x v="60"/>
            <x v="62"/>
            <x v="63"/>
            <x v="66"/>
            <x v="68"/>
            <x v="69"/>
            <x v="72"/>
            <x v="73"/>
            <x v="75"/>
            <x v="76"/>
            <x v="77"/>
            <x v="78"/>
          </reference>
        </references>
      </pivotArea>
    </format>
    <format dxfId="27">
      <pivotArea dataOnly="0" labelOnly="1" grandRow="1" outline="0" fieldPosition="0"/>
    </format>
    <format dxfId="28">
      <pivotArea dataOnly="0" labelOnly="1" outline="0" axis="axisValues" fieldPosition="0"/>
    </format>
  </format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ADCE9CB-6B48-43BD-825C-25717F612DCC}" name="PivotTable2" cacheId="1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5">
  <location ref="N4:O55" firstHeaderRow="1" firstDataRow="1" firstDataCol="1" rowPageCount="1" colPageCount="1"/>
  <pivotFields count="8">
    <pivotField compact="0" numFmtId="14" outline="0" showAll="0"/>
    <pivotField axis="axisRow" compact="0" outline="0" showAll="0" sortType="descending">
      <items count="83">
        <item x="2"/>
        <item x="80"/>
        <item x="29"/>
        <item x="28"/>
        <item x="78"/>
        <item x="65"/>
        <item x="0"/>
        <item x="77"/>
        <item x="66"/>
        <item x="64"/>
        <item x="38"/>
        <item x="46"/>
        <item x="45"/>
        <item x="61"/>
        <item x="36"/>
        <item x="60"/>
        <item x="26"/>
        <item x="39"/>
        <item x="40"/>
        <item x="18"/>
        <item x="8"/>
        <item x="17"/>
        <item x="21"/>
        <item x="76"/>
        <item x="69"/>
        <item x="20"/>
        <item x="70"/>
        <item x="16"/>
        <item x="19"/>
        <item x="68"/>
        <item x="67"/>
        <item x="58"/>
        <item x="41"/>
        <item x="52"/>
        <item x="51"/>
        <item x="55"/>
        <item x="53"/>
        <item x="63"/>
        <item x="42"/>
        <item x="11"/>
        <item x="34"/>
        <item x="10"/>
        <item x="9"/>
        <item x="12"/>
        <item x="71"/>
        <item x="37"/>
        <item x="73"/>
        <item x="22"/>
        <item x="5"/>
        <item x="23"/>
        <item x="33"/>
        <item x="32"/>
        <item x="57"/>
        <item x="3"/>
        <item x="79"/>
        <item x="35"/>
        <item x="1"/>
        <item x="14"/>
        <item x="49"/>
        <item x="44"/>
        <item x="48"/>
        <item x="31"/>
        <item x="50"/>
        <item x="72"/>
        <item x="6"/>
        <item x="30"/>
        <item x="54"/>
        <item x="4"/>
        <item x="47"/>
        <item x="75"/>
        <item x="13"/>
        <item x="24"/>
        <item x="62"/>
        <item x="56"/>
        <item x="43"/>
        <item x="74"/>
        <item x="15"/>
        <item x="7"/>
        <item x="59"/>
        <item x="25"/>
        <item x="27"/>
        <item m="1" x="8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numFmtId="164" outline="0" showAll="0"/>
    <pivotField compact="0" numFmtId="164" outline="0" showAll="0"/>
    <pivotField dataField="1" compact="0" numFmtId="164" outline="0" showAll="0"/>
    <pivotField compact="0" outline="0" showAll="0"/>
    <pivotField axis="axisPage" compact="0" outline="0" showAll="0">
      <items count="4">
        <item h="1" x="0"/>
        <item x="1"/>
        <item m="1" x="2"/>
        <item t="default"/>
      </items>
    </pivotField>
  </pivotFields>
  <rowFields count="1">
    <field x="1"/>
  </rowFields>
  <rowItems count="51">
    <i>
      <x v="31"/>
    </i>
    <i>
      <x v="42"/>
    </i>
    <i>
      <x v="6"/>
    </i>
    <i>
      <x v="4"/>
    </i>
    <i>
      <x v="34"/>
    </i>
    <i>
      <x/>
    </i>
    <i>
      <x v="63"/>
    </i>
    <i>
      <x v="50"/>
    </i>
    <i>
      <x v="77"/>
    </i>
    <i>
      <x v="72"/>
    </i>
    <i>
      <x v="35"/>
    </i>
    <i>
      <x v="66"/>
    </i>
    <i>
      <x v="73"/>
    </i>
    <i>
      <x v="76"/>
    </i>
    <i>
      <x v="44"/>
    </i>
    <i>
      <x v="12"/>
    </i>
    <i>
      <x v="52"/>
    </i>
    <i>
      <x v="13"/>
    </i>
    <i>
      <x v="19"/>
    </i>
    <i>
      <x v="40"/>
    </i>
    <i>
      <x v="8"/>
    </i>
    <i>
      <x v="15"/>
    </i>
    <i>
      <x v="27"/>
    </i>
    <i>
      <x v="33"/>
    </i>
    <i>
      <x v="46"/>
    </i>
    <i>
      <x v="23"/>
    </i>
    <i>
      <x v="3"/>
    </i>
    <i>
      <x v="69"/>
    </i>
    <i>
      <x v="60"/>
    </i>
    <i>
      <x v="26"/>
    </i>
    <i>
      <x v="29"/>
    </i>
    <i>
      <x v="39"/>
    </i>
    <i>
      <x v="37"/>
    </i>
    <i>
      <x v="75"/>
    </i>
    <i>
      <x v="43"/>
    </i>
    <i>
      <x v="24"/>
    </i>
    <i>
      <x v="11"/>
    </i>
    <i>
      <x v="1"/>
    </i>
    <i>
      <x v="36"/>
    </i>
    <i>
      <x v="62"/>
    </i>
    <i>
      <x v="30"/>
    </i>
    <i>
      <x v="5"/>
    </i>
    <i>
      <x v="7"/>
    </i>
    <i>
      <x v="58"/>
    </i>
    <i>
      <x v="54"/>
    </i>
    <i>
      <x v="78"/>
    </i>
    <i>
      <x v="9"/>
    </i>
    <i>
      <x v="20"/>
    </i>
    <i>
      <x v="2"/>
    </i>
    <i>
      <x v="68"/>
    </i>
    <i t="grand">
      <x/>
    </i>
  </rowItems>
  <colItems count="1">
    <i/>
  </colItems>
  <pageFields count="1">
    <pageField fld="7" item="1" hier="-1"/>
  </pageFields>
  <dataFields count="1">
    <dataField name="Total Profit" fld="5" baseField="0" baseItem="0" numFmtId="164"/>
  </dataFields>
  <formats count="6">
    <format dxfId="17">
      <pivotArea type="all" dataOnly="0" outline="0" fieldPosition="0"/>
    </format>
    <format dxfId="18">
      <pivotArea outline="0" collapsedLevelsAreSubtotals="1" fieldPosition="0"/>
    </format>
    <format dxfId="19">
      <pivotArea field="1" type="button" dataOnly="0" labelOnly="1" outline="0" axis="axisRow" fieldPosition="0"/>
    </format>
    <format dxfId="20">
      <pivotArea dataOnly="0" labelOnly="1" outline="0" fieldPosition="0">
        <references count="1">
          <reference field="1" count="50">
            <x v="0"/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5"/>
            <x v="19"/>
            <x v="20"/>
            <x v="23"/>
            <x v="24"/>
            <x v="26"/>
            <x v="27"/>
            <x v="29"/>
            <x v="30"/>
            <x v="31"/>
            <x v="33"/>
            <x v="34"/>
            <x v="35"/>
            <x v="36"/>
            <x v="37"/>
            <x v="39"/>
            <x v="40"/>
            <x v="42"/>
            <x v="43"/>
            <x v="44"/>
            <x v="46"/>
            <x v="50"/>
            <x v="52"/>
            <x v="54"/>
            <x v="58"/>
            <x v="60"/>
            <x v="62"/>
            <x v="63"/>
            <x v="66"/>
            <x v="68"/>
            <x v="69"/>
            <x v="72"/>
            <x v="73"/>
            <x v="75"/>
            <x v="76"/>
            <x v="77"/>
            <x v="78"/>
          </reference>
        </references>
      </pivotArea>
    </format>
    <format dxfId="21">
      <pivotArea dataOnly="0" labelOnly="1" grandRow="1" outline="0" fieldPosition="0"/>
    </format>
    <format dxfId="22">
      <pivotArea dataOnly="0" labelOnly="1" outline="0" axis="axisValues" fieldPosition="0"/>
    </format>
  </format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58B3FE-6C4C-4DC5-8066-CB31A8088DE5}" name="PivotTable1" cacheId="1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5">
  <location ref="E4:F12" firstHeaderRow="1" firstDataRow="1" firstDataCol="1" rowPageCount="1" colPageCount="1"/>
  <pivotFields count="8">
    <pivotField axis="axisRow"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4" outline="0" showAll="0"/>
    <pivotField compact="0" outline="0" showAll="0"/>
    <pivotField axis="axisPage" compact="0" outline="0" showAll="0">
      <items count="4">
        <item h="1" x="0"/>
        <item x="1"/>
        <item m="1" x="2"/>
        <item t="default"/>
      </items>
    </pivotField>
  </pivotFields>
  <rowFields count="1">
    <field x="0"/>
  </rowFields>
  <rowItems count="8"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pageFields count="1">
    <pageField fld="7" item="1" hier="-1"/>
  </pageFields>
  <dataFields count="1">
    <dataField name="Daily Profit" fld="5" baseField="0" baseItem="0" numFmtId="164"/>
  </dataFields>
  <formats count="6">
    <format dxfId="11">
      <pivotArea type="all" dataOnly="0" outline="0" fieldPosition="0"/>
    </format>
    <format dxfId="12">
      <pivotArea outline="0" collapsedLevelsAreSubtotals="1" fieldPosition="0"/>
    </format>
    <format dxfId="13">
      <pivotArea field="0" type="button" dataOnly="0" labelOnly="1" outline="0" axis="axisRow" fieldPosition="0"/>
    </format>
    <format dxfId="14">
      <pivotArea dataOnly="0" labelOnly="1" outline="0" fieldPosition="0">
        <references count="1">
          <reference field="0" count="7">
            <x v="7"/>
            <x v="8"/>
            <x v="9"/>
            <x v="10"/>
            <x v="11"/>
            <x v="12"/>
            <x v="13"/>
          </reference>
        </references>
      </pivotArea>
    </format>
    <format dxfId="15">
      <pivotArea dataOnly="0" labelOnly="1" grandRow="1" outline="0" fieldPosition="0"/>
    </format>
    <format dxfId="16">
      <pivotArea dataOnly="0" labelOnly="1" outline="0" axis="axisValues" fieldPosition="0"/>
    </format>
  </format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B74BB23-1DC8-4C2D-B047-5D6896CA099F}" name="Table7" displayName="Table7" ref="B2:I118" totalsRowShown="0" headerRowDxfId="10" dataDxfId="9" tableBorderDxfId="8">
  <autoFilter ref="B2:I118" xr:uid="{BB74BB23-1DC8-4C2D-B047-5D6896CA099F}"/>
  <tableColumns count="8">
    <tableColumn id="1" xr3:uid="{2323B03D-5D0E-46E3-829B-9C5090F34B3E}" name="Date" dataDxfId="7"/>
    <tableColumn id="2" xr3:uid="{BC93E0BC-FD81-4160-B572-7608F9870001}" name="Product" dataDxfId="6"/>
    <tableColumn id="3" xr3:uid="{99719A05-5B8E-498C-9633-28C2841D3F0D}" name="Quantity" dataDxfId="5"/>
    <tableColumn id="4" xr3:uid="{818D2432-A177-422B-8F5F-70E72C81D886}" name="Sell_Price" dataDxfId="4"/>
    <tableColumn id="5" xr3:uid="{C0806F7A-753C-462F-A17E-2E4B0B760CF3}" name="Cost_Price" dataDxfId="3"/>
    <tableColumn id="6" xr3:uid="{1F2A5F6B-31B4-4099-8435-D111C69679B8}" name="Profit" dataDxfId="2">
      <calculatedColumnFormula>(E3-F3)*D3</calculatedColumnFormula>
    </tableColumn>
    <tableColumn id="7" xr3:uid="{F7EEE74D-F488-41EF-9D16-1951E0508419}" name="Day" dataDxfId="1">
      <calculatedColumnFormula>TEXT(B3,"dddd")</calculatedColumnFormula>
    </tableColumn>
    <tableColumn id="8" xr3:uid="{96D67D87-C5D4-402C-BC59-1F3784CA4FE7}" name="Week" dataDxfId="0">
      <calculatedColumnFormula>"Week " &amp; (INT((B3 - DATE(2026,8,3)) / 7) + 1)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4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7F7AE-4767-4293-8EEE-F32A26172F1E}">
  <dimension ref="B2:AI44"/>
  <sheetViews>
    <sheetView topLeftCell="E19" workbookViewId="0">
      <selection activeCell="K27" sqref="K27:Q33"/>
    </sheetView>
  </sheetViews>
  <sheetFormatPr defaultRowHeight="15"/>
  <sheetData>
    <row r="2" spans="15:22" ht="15" customHeight="1">
      <c r="O2" s="39" t="s">
        <v>0</v>
      </c>
      <c r="P2" s="40"/>
      <c r="Q2" s="40"/>
      <c r="R2" s="40"/>
      <c r="S2" s="40"/>
      <c r="T2" s="40"/>
      <c r="U2" s="41"/>
    </row>
    <row r="3" spans="15:22" ht="15" customHeight="1">
      <c r="O3" s="42"/>
      <c r="P3" s="43"/>
      <c r="Q3" s="43"/>
      <c r="R3" s="43"/>
      <c r="S3" s="43"/>
      <c r="T3" s="43"/>
      <c r="U3" s="44"/>
    </row>
    <row r="4" spans="15:22" ht="15" customHeight="1">
      <c r="O4" s="42"/>
      <c r="P4" s="43"/>
      <c r="Q4" s="43"/>
      <c r="R4" s="43"/>
      <c r="S4" s="43"/>
      <c r="T4" s="43"/>
      <c r="U4" s="44"/>
    </row>
    <row r="5" spans="15:22" ht="15" customHeight="1">
      <c r="O5" s="45"/>
      <c r="P5" s="46"/>
      <c r="Q5" s="46"/>
      <c r="R5" s="46"/>
      <c r="S5" s="46"/>
      <c r="T5" s="46"/>
      <c r="U5" s="47"/>
    </row>
    <row r="6" spans="15:22" ht="15" customHeight="1">
      <c r="O6" s="30" t="s">
        <v>1</v>
      </c>
      <c r="P6" s="31"/>
      <c r="Q6" s="31"/>
      <c r="R6" s="31"/>
      <c r="S6" s="31"/>
      <c r="T6" s="31"/>
      <c r="U6" s="32"/>
      <c r="V6" s="8"/>
    </row>
    <row r="7" spans="15:22" ht="15" customHeight="1">
      <c r="O7" s="33"/>
      <c r="P7" s="34"/>
      <c r="Q7" s="34"/>
      <c r="R7" s="34"/>
      <c r="S7" s="34"/>
      <c r="T7" s="34"/>
      <c r="U7" s="35"/>
      <c r="V7" s="8"/>
    </row>
    <row r="8" spans="15:22" ht="15" customHeight="1">
      <c r="O8" s="33"/>
      <c r="P8" s="34"/>
      <c r="Q8" s="34"/>
      <c r="R8" s="34"/>
      <c r="S8" s="34"/>
      <c r="T8" s="34"/>
      <c r="U8" s="35"/>
      <c r="V8" s="8"/>
    </row>
    <row r="9" spans="15:22" ht="15" customHeight="1">
      <c r="O9" s="33"/>
      <c r="P9" s="34"/>
      <c r="Q9" s="34"/>
      <c r="R9" s="34"/>
      <c r="S9" s="34"/>
      <c r="T9" s="34"/>
      <c r="U9" s="35"/>
      <c r="V9" s="8"/>
    </row>
    <row r="10" spans="15:22" ht="15" customHeight="1">
      <c r="O10" s="33"/>
      <c r="P10" s="34"/>
      <c r="Q10" s="34"/>
      <c r="R10" s="34"/>
      <c r="S10" s="34"/>
      <c r="T10" s="34"/>
      <c r="U10" s="35"/>
      <c r="V10" s="8"/>
    </row>
    <row r="11" spans="15:22" ht="15" customHeight="1">
      <c r="O11" s="33"/>
      <c r="P11" s="34"/>
      <c r="Q11" s="34"/>
      <c r="R11" s="34"/>
      <c r="S11" s="34"/>
      <c r="T11" s="34"/>
      <c r="U11" s="35"/>
      <c r="V11" s="8"/>
    </row>
    <row r="12" spans="15:22" ht="15" customHeight="1">
      <c r="O12" s="33"/>
      <c r="P12" s="34"/>
      <c r="Q12" s="34"/>
      <c r="R12" s="34"/>
      <c r="S12" s="34"/>
      <c r="T12" s="34"/>
      <c r="U12" s="35"/>
      <c r="V12" s="8"/>
    </row>
    <row r="13" spans="15:22" ht="15" customHeight="1">
      <c r="O13" s="33"/>
      <c r="P13" s="34"/>
      <c r="Q13" s="34"/>
      <c r="R13" s="34"/>
      <c r="S13" s="34"/>
      <c r="T13" s="34"/>
      <c r="U13" s="35"/>
      <c r="V13" s="8"/>
    </row>
    <row r="14" spans="15:22" ht="15" customHeight="1">
      <c r="O14" s="33"/>
      <c r="P14" s="34"/>
      <c r="Q14" s="34"/>
      <c r="R14" s="34"/>
      <c r="S14" s="34"/>
      <c r="T14" s="34"/>
      <c r="U14" s="35"/>
      <c r="V14" s="8"/>
    </row>
    <row r="15" spans="15:22" ht="15" customHeight="1">
      <c r="O15" s="33"/>
      <c r="P15" s="34"/>
      <c r="Q15" s="34"/>
      <c r="R15" s="34"/>
      <c r="S15" s="34"/>
      <c r="T15" s="34"/>
      <c r="U15" s="35"/>
      <c r="V15" s="8"/>
    </row>
    <row r="16" spans="15:22" ht="15" customHeight="1">
      <c r="O16" s="33"/>
      <c r="P16" s="34"/>
      <c r="Q16" s="34"/>
      <c r="R16" s="34"/>
      <c r="S16" s="34"/>
      <c r="T16" s="34"/>
      <c r="U16" s="35"/>
      <c r="V16" s="8"/>
    </row>
    <row r="17" spans="2:35" ht="15" customHeight="1">
      <c r="O17" s="33"/>
      <c r="P17" s="34"/>
      <c r="Q17" s="34"/>
      <c r="R17" s="34"/>
      <c r="S17" s="34"/>
      <c r="T17" s="34"/>
      <c r="U17" s="35"/>
      <c r="V17" s="8"/>
    </row>
    <row r="18" spans="2:35" ht="15" customHeight="1">
      <c r="O18" s="33"/>
      <c r="P18" s="34"/>
      <c r="Q18" s="34"/>
      <c r="R18" s="34"/>
      <c r="S18" s="34"/>
      <c r="T18" s="34"/>
      <c r="U18" s="35"/>
      <c r="V18" s="8"/>
    </row>
    <row r="19" spans="2:35" ht="15" customHeight="1">
      <c r="O19" s="33"/>
      <c r="P19" s="34"/>
      <c r="Q19" s="34"/>
      <c r="R19" s="34"/>
      <c r="S19" s="34"/>
      <c r="T19" s="34"/>
      <c r="U19" s="35"/>
      <c r="V19" s="8"/>
    </row>
    <row r="20" spans="2:35" ht="15" customHeight="1">
      <c r="O20" s="33"/>
      <c r="P20" s="34"/>
      <c r="Q20" s="34"/>
      <c r="R20" s="34"/>
      <c r="S20" s="34"/>
      <c r="T20" s="34"/>
      <c r="U20" s="35"/>
      <c r="V20" s="8"/>
    </row>
    <row r="21" spans="2:35" ht="15" customHeight="1">
      <c r="O21" s="33"/>
      <c r="P21" s="34"/>
      <c r="Q21" s="34"/>
      <c r="R21" s="34"/>
      <c r="S21" s="34"/>
      <c r="T21" s="34"/>
      <c r="U21" s="35"/>
      <c r="V21" s="8"/>
    </row>
    <row r="22" spans="2:35" ht="15" customHeight="1">
      <c r="O22" s="36"/>
      <c r="P22" s="37"/>
      <c r="Q22" s="37"/>
      <c r="R22" s="37"/>
      <c r="S22" s="37"/>
      <c r="T22" s="37"/>
      <c r="U22" s="38"/>
      <c r="V22" s="8"/>
    </row>
    <row r="25" spans="2:35" ht="15" customHeight="1">
      <c r="B25" s="48" t="s">
        <v>2</v>
      </c>
      <c r="C25" s="49"/>
      <c r="D25" s="49"/>
      <c r="E25" s="49"/>
      <c r="F25" s="49"/>
      <c r="G25" s="49"/>
      <c r="H25" s="50"/>
      <c r="K25" s="48" t="s">
        <v>3</v>
      </c>
      <c r="L25" s="49"/>
      <c r="M25" s="49"/>
      <c r="N25" s="49"/>
      <c r="O25" s="49"/>
      <c r="P25" s="49"/>
      <c r="Q25" s="50"/>
      <c r="T25" s="48" t="s">
        <v>4</v>
      </c>
      <c r="U25" s="49"/>
      <c r="V25" s="49"/>
      <c r="W25" s="49"/>
      <c r="X25" s="49"/>
      <c r="Y25" s="49"/>
      <c r="Z25" s="50"/>
      <c r="AC25" s="48" t="s">
        <v>5</v>
      </c>
      <c r="AD25" s="49"/>
      <c r="AE25" s="49"/>
      <c r="AF25" s="49"/>
      <c r="AG25" s="49"/>
      <c r="AH25" s="49"/>
      <c r="AI25" s="50"/>
    </row>
    <row r="26" spans="2:35" ht="15" customHeight="1">
      <c r="B26" s="51"/>
      <c r="C26" s="52"/>
      <c r="D26" s="52"/>
      <c r="E26" s="52"/>
      <c r="F26" s="52"/>
      <c r="G26" s="52"/>
      <c r="H26" s="53"/>
      <c r="K26" s="51"/>
      <c r="L26" s="52"/>
      <c r="M26" s="52"/>
      <c r="N26" s="52"/>
      <c r="O26" s="52"/>
      <c r="P26" s="52"/>
      <c r="Q26" s="53"/>
      <c r="T26" s="51"/>
      <c r="U26" s="52"/>
      <c r="V26" s="52"/>
      <c r="W26" s="52"/>
      <c r="X26" s="52"/>
      <c r="Y26" s="52"/>
      <c r="Z26" s="53"/>
      <c r="AC26" s="51"/>
      <c r="AD26" s="52"/>
      <c r="AE26" s="52"/>
      <c r="AF26" s="52"/>
      <c r="AG26" s="52"/>
      <c r="AH26" s="52"/>
      <c r="AI26" s="53"/>
    </row>
    <row r="27" spans="2:35" ht="15" customHeight="1">
      <c r="B27" s="103" t="s">
        <v>6</v>
      </c>
      <c r="C27" s="61"/>
      <c r="D27" s="61"/>
      <c r="E27" s="61"/>
      <c r="F27" s="61"/>
      <c r="G27" s="61"/>
      <c r="H27" s="62"/>
      <c r="K27" s="103" t="s">
        <v>7</v>
      </c>
      <c r="L27" s="61"/>
      <c r="M27" s="61"/>
      <c r="N27" s="61"/>
      <c r="O27" s="61"/>
      <c r="P27" s="61"/>
      <c r="Q27" s="62"/>
      <c r="T27" s="54" t="s">
        <v>8</v>
      </c>
      <c r="U27" s="55"/>
      <c r="V27" s="55"/>
      <c r="W27" s="55"/>
      <c r="X27" s="55"/>
      <c r="Y27" s="55"/>
      <c r="Z27" s="56"/>
      <c r="AC27" s="60" t="s">
        <v>8</v>
      </c>
      <c r="AD27" s="61"/>
      <c r="AE27" s="61"/>
      <c r="AF27" s="61"/>
      <c r="AG27" s="61"/>
      <c r="AH27" s="61"/>
      <c r="AI27" s="62"/>
    </row>
    <row r="28" spans="2:35" ht="15" customHeight="1">
      <c r="B28" s="54"/>
      <c r="C28" s="55"/>
      <c r="D28" s="55"/>
      <c r="E28" s="55"/>
      <c r="F28" s="55"/>
      <c r="G28" s="55"/>
      <c r="H28" s="56"/>
      <c r="K28" s="54"/>
      <c r="L28" s="55"/>
      <c r="M28" s="55"/>
      <c r="N28" s="55"/>
      <c r="O28" s="55"/>
      <c r="P28" s="55"/>
      <c r="Q28" s="56"/>
      <c r="T28" s="54"/>
      <c r="U28" s="55"/>
      <c r="V28" s="55"/>
      <c r="W28" s="55"/>
      <c r="X28" s="55"/>
      <c r="Y28" s="55"/>
      <c r="Z28" s="56"/>
      <c r="AC28" s="54"/>
      <c r="AD28" s="55"/>
      <c r="AE28" s="55"/>
      <c r="AF28" s="55"/>
      <c r="AG28" s="55"/>
      <c r="AH28" s="55"/>
      <c r="AI28" s="56"/>
    </row>
    <row r="29" spans="2:35" ht="15" customHeight="1">
      <c r="B29" s="54"/>
      <c r="C29" s="55"/>
      <c r="D29" s="55"/>
      <c r="E29" s="55"/>
      <c r="F29" s="55"/>
      <c r="G29" s="55"/>
      <c r="H29" s="56"/>
      <c r="K29" s="54"/>
      <c r="L29" s="55"/>
      <c r="M29" s="55"/>
      <c r="N29" s="55"/>
      <c r="O29" s="55"/>
      <c r="P29" s="55"/>
      <c r="Q29" s="56"/>
      <c r="T29" s="54"/>
      <c r="U29" s="55"/>
      <c r="V29" s="55"/>
      <c r="W29" s="55"/>
      <c r="X29" s="55"/>
      <c r="Y29" s="55"/>
      <c r="Z29" s="56"/>
      <c r="AC29" s="54"/>
      <c r="AD29" s="55"/>
      <c r="AE29" s="55"/>
      <c r="AF29" s="55"/>
      <c r="AG29" s="55"/>
      <c r="AH29" s="55"/>
      <c r="AI29" s="56"/>
    </row>
    <row r="30" spans="2:35" ht="15" customHeight="1">
      <c r="B30" s="54"/>
      <c r="C30" s="55"/>
      <c r="D30" s="55"/>
      <c r="E30" s="55"/>
      <c r="F30" s="55"/>
      <c r="G30" s="55"/>
      <c r="H30" s="56"/>
      <c r="K30" s="54"/>
      <c r="L30" s="55"/>
      <c r="M30" s="55"/>
      <c r="N30" s="55"/>
      <c r="O30" s="55"/>
      <c r="P30" s="55"/>
      <c r="Q30" s="56"/>
      <c r="T30" s="54"/>
      <c r="U30" s="55"/>
      <c r="V30" s="55"/>
      <c r="W30" s="55"/>
      <c r="X30" s="55"/>
      <c r="Y30" s="55"/>
      <c r="Z30" s="56"/>
      <c r="AC30" s="54"/>
      <c r="AD30" s="55"/>
      <c r="AE30" s="55"/>
      <c r="AF30" s="55"/>
      <c r="AG30" s="55"/>
      <c r="AH30" s="55"/>
      <c r="AI30" s="56"/>
    </row>
    <row r="31" spans="2:35" ht="15" customHeight="1">
      <c r="B31" s="54"/>
      <c r="C31" s="55"/>
      <c r="D31" s="55"/>
      <c r="E31" s="55"/>
      <c r="F31" s="55"/>
      <c r="G31" s="55"/>
      <c r="H31" s="56"/>
      <c r="K31" s="54"/>
      <c r="L31" s="55"/>
      <c r="M31" s="55"/>
      <c r="N31" s="55"/>
      <c r="O31" s="55"/>
      <c r="P31" s="55"/>
      <c r="Q31" s="56"/>
      <c r="T31" s="54"/>
      <c r="U31" s="55"/>
      <c r="V31" s="55"/>
      <c r="W31" s="55"/>
      <c r="X31" s="55"/>
      <c r="Y31" s="55"/>
      <c r="Z31" s="56"/>
      <c r="AC31" s="54"/>
      <c r="AD31" s="55"/>
      <c r="AE31" s="55"/>
      <c r="AF31" s="55"/>
      <c r="AG31" s="55"/>
      <c r="AH31" s="55"/>
      <c r="AI31" s="56"/>
    </row>
    <row r="32" spans="2:35" ht="15" customHeight="1">
      <c r="B32" s="54"/>
      <c r="C32" s="55"/>
      <c r="D32" s="55"/>
      <c r="E32" s="55"/>
      <c r="F32" s="55"/>
      <c r="G32" s="55"/>
      <c r="H32" s="56"/>
      <c r="K32" s="54"/>
      <c r="L32" s="55"/>
      <c r="M32" s="55"/>
      <c r="N32" s="55"/>
      <c r="O32" s="55"/>
      <c r="P32" s="55"/>
      <c r="Q32" s="56"/>
      <c r="T32" s="54"/>
      <c r="U32" s="55"/>
      <c r="V32" s="55"/>
      <c r="W32" s="55"/>
      <c r="X32" s="55"/>
      <c r="Y32" s="55"/>
      <c r="Z32" s="56"/>
      <c r="AC32" s="54"/>
      <c r="AD32" s="55"/>
      <c r="AE32" s="55"/>
      <c r="AF32" s="55"/>
      <c r="AG32" s="55"/>
      <c r="AH32" s="55"/>
      <c r="AI32" s="56"/>
    </row>
    <row r="33" spans="2:35" ht="15" customHeight="1">
      <c r="B33" s="57"/>
      <c r="C33" s="58"/>
      <c r="D33" s="58"/>
      <c r="E33" s="58"/>
      <c r="F33" s="58"/>
      <c r="G33" s="58"/>
      <c r="H33" s="59"/>
      <c r="K33" s="57"/>
      <c r="L33" s="58"/>
      <c r="M33" s="58"/>
      <c r="N33" s="58"/>
      <c r="O33" s="58"/>
      <c r="P33" s="58"/>
      <c r="Q33" s="59"/>
      <c r="T33" s="57"/>
      <c r="U33" s="58"/>
      <c r="V33" s="58"/>
      <c r="W33" s="58"/>
      <c r="X33" s="58"/>
      <c r="Y33" s="58"/>
      <c r="Z33" s="59"/>
      <c r="AC33" s="57"/>
      <c r="AD33" s="58"/>
      <c r="AE33" s="58"/>
      <c r="AF33" s="58"/>
      <c r="AG33" s="58"/>
      <c r="AH33" s="58"/>
      <c r="AI33" s="59"/>
    </row>
    <row r="36" spans="2:35" ht="15" customHeight="1">
      <c r="B36" s="48" t="s">
        <v>9</v>
      </c>
      <c r="C36" s="49"/>
      <c r="D36" s="49"/>
      <c r="E36" s="49"/>
      <c r="F36" s="49"/>
      <c r="G36" s="49"/>
      <c r="H36" s="50"/>
      <c r="K36" s="48" t="s">
        <v>10</v>
      </c>
      <c r="L36" s="49"/>
      <c r="M36" s="49"/>
      <c r="N36" s="49"/>
      <c r="O36" s="49"/>
      <c r="P36" s="49"/>
      <c r="Q36" s="50"/>
      <c r="T36" s="48" t="s">
        <v>11</v>
      </c>
      <c r="U36" s="49"/>
      <c r="V36" s="49"/>
      <c r="W36" s="49"/>
      <c r="X36" s="49"/>
      <c r="Y36" s="49"/>
      <c r="Z36" s="50"/>
      <c r="AC36" s="48" t="s">
        <v>12</v>
      </c>
      <c r="AD36" s="49"/>
      <c r="AE36" s="49"/>
      <c r="AF36" s="49"/>
      <c r="AG36" s="49"/>
      <c r="AH36" s="49"/>
      <c r="AI36" s="50"/>
    </row>
    <row r="37" spans="2:35" ht="15" customHeight="1">
      <c r="B37" s="51"/>
      <c r="C37" s="52"/>
      <c r="D37" s="52"/>
      <c r="E37" s="52"/>
      <c r="F37" s="52"/>
      <c r="G37" s="52"/>
      <c r="H37" s="53"/>
      <c r="K37" s="51"/>
      <c r="L37" s="52"/>
      <c r="M37" s="52"/>
      <c r="N37" s="52"/>
      <c r="O37" s="52"/>
      <c r="P37" s="52"/>
      <c r="Q37" s="53"/>
      <c r="T37" s="51"/>
      <c r="U37" s="52"/>
      <c r="V37" s="52"/>
      <c r="W37" s="52"/>
      <c r="X37" s="52"/>
      <c r="Y37" s="52"/>
      <c r="Z37" s="53"/>
      <c r="AC37" s="51"/>
      <c r="AD37" s="52"/>
      <c r="AE37" s="52"/>
      <c r="AF37" s="52"/>
      <c r="AG37" s="52"/>
      <c r="AH37" s="52"/>
      <c r="AI37" s="53"/>
    </row>
    <row r="38" spans="2:35" ht="15" customHeight="1">
      <c r="B38" s="60" t="s">
        <v>8</v>
      </c>
      <c r="C38" s="61"/>
      <c r="D38" s="61"/>
      <c r="E38" s="61"/>
      <c r="F38" s="61"/>
      <c r="G38" s="61"/>
      <c r="H38" s="62"/>
      <c r="K38" s="60" t="s">
        <v>8</v>
      </c>
      <c r="L38" s="61"/>
      <c r="M38" s="61"/>
      <c r="N38" s="61"/>
      <c r="O38" s="61"/>
      <c r="P38" s="61"/>
      <c r="Q38" s="62"/>
      <c r="T38" s="60" t="s">
        <v>8</v>
      </c>
      <c r="U38" s="61"/>
      <c r="V38" s="61"/>
      <c r="W38" s="61"/>
      <c r="X38" s="61"/>
      <c r="Y38" s="61"/>
      <c r="Z38" s="62"/>
      <c r="AC38" s="60" t="s">
        <v>8</v>
      </c>
      <c r="AD38" s="61"/>
      <c r="AE38" s="61"/>
      <c r="AF38" s="61"/>
      <c r="AG38" s="61"/>
      <c r="AH38" s="61"/>
      <c r="AI38" s="62"/>
    </row>
    <row r="39" spans="2:35" ht="15" customHeight="1">
      <c r="B39" s="54"/>
      <c r="C39" s="55"/>
      <c r="D39" s="55"/>
      <c r="E39" s="55"/>
      <c r="F39" s="55"/>
      <c r="G39" s="55"/>
      <c r="H39" s="56"/>
      <c r="K39" s="54"/>
      <c r="L39" s="55"/>
      <c r="M39" s="55"/>
      <c r="N39" s="55"/>
      <c r="O39" s="55"/>
      <c r="P39" s="55"/>
      <c r="Q39" s="56"/>
      <c r="T39" s="54"/>
      <c r="U39" s="55"/>
      <c r="V39" s="55"/>
      <c r="W39" s="55"/>
      <c r="X39" s="55"/>
      <c r="Y39" s="55"/>
      <c r="Z39" s="56"/>
      <c r="AC39" s="54"/>
      <c r="AD39" s="55"/>
      <c r="AE39" s="55"/>
      <c r="AF39" s="55"/>
      <c r="AG39" s="55"/>
      <c r="AH39" s="55"/>
      <c r="AI39" s="56"/>
    </row>
    <row r="40" spans="2:35" ht="15" customHeight="1">
      <c r="B40" s="54"/>
      <c r="C40" s="55"/>
      <c r="D40" s="55"/>
      <c r="E40" s="55"/>
      <c r="F40" s="55"/>
      <c r="G40" s="55"/>
      <c r="H40" s="56"/>
      <c r="K40" s="54"/>
      <c r="L40" s="55"/>
      <c r="M40" s="55"/>
      <c r="N40" s="55"/>
      <c r="O40" s="55"/>
      <c r="P40" s="55"/>
      <c r="Q40" s="56"/>
      <c r="T40" s="54"/>
      <c r="U40" s="55"/>
      <c r="V40" s="55"/>
      <c r="W40" s="55"/>
      <c r="X40" s="55"/>
      <c r="Y40" s="55"/>
      <c r="Z40" s="56"/>
      <c r="AC40" s="54"/>
      <c r="AD40" s="55"/>
      <c r="AE40" s="55"/>
      <c r="AF40" s="55"/>
      <c r="AG40" s="55"/>
      <c r="AH40" s="55"/>
      <c r="AI40" s="56"/>
    </row>
    <row r="41" spans="2:35" ht="15" customHeight="1">
      <c r="B41" s="54"/>
      <c r="C41" s="55"/>
      <c r="D41" s="55"/>
      <c r="E41" s="55"/>
      <c r="F41" s="55"/>
      <c r="G41" s="55"/>
      <c r="H41" s="56"/>
      <c r="K41" s="54"/>
      <c r="L41" s="55"/>
      <c r="M41" s="55"/>
      <c r="N41" s="55"/>
      <c r="O41" s="55"/>
      <c r="P41" s="55"/>
      <c r="Q41" s="56"/>
      <c r="T41" s="54"/>
      <c r="U41" s="55"/>
      <c r="V41" s="55"/>
      <c r="W41" s="55"/>
      <c r="X41" s="55"/>
      <c r="Y41" s="55"/>
      <c r="Z41" s="56"/>
      <c r="AC41" s="54"/>
      <c r="AD41" s="55"/>
      <c r="AE41" s="55"/>
      <c r="AF41" s="55"/>
      <c r="AG41" s="55"/>
      <c r="AH41" s="55"/>
      <c r="AI41" s="56"/>
    </row>
    <row r="42" spans="2:35" ht="15" customHeight="1">
      <c r="B42" s="54"/>
      <c r="C42" s="55"/>
      <c r="D42" s="55"/>
      <c r="E42" s="55"/>
      <c r="F42" s="55"/>
      <c r="G42" s="55"/>
      <c r="H42" s="56"/>
      <c r="K42" s="54"/>
      <c r="L42" s="55"/>
      <c r="M42" s="55"/>
      <c r="N42" s="55"/>
      <c r="O42" s="55"/>
      <c r="P42" s="55"/>
      <c r="Q42" s="56"/>
      <c r="T42" s="54"/>
      <c r="U42" s="55"/>
      <c r="V42" s="55"/>
      <c r="W42" s="55"/>
      <c r="X42" s="55"/>
      <c r="Y42" s="55"/>
      <c r="Z42" s="56"/>
      <c r="AC42" s="54"/>
      <c r="AD42" s="55"/>
      <c r="AE42" s="55"/>
      <c r="AF42" s="55"/>
      <c r="AG42" s="55"/>
      <c r="AH42" s="55"/>
      <c r="AI42" s="56"/>
    </row>
    <row r="43" spans="2:35" ht="15" customHeight="1">
      <c r="B43" s="54"/>
      <c r="C43" s="55"/>
      <c r="D43" s="55"/>
      <c r="E43" s="55"/>
      <c r="F43" s="55"/>
      <c r="G43" s="55"/>
      <c r="H43" s="56"/>
      <c r="K43" s="54"/>
      <c r="L43" s="55"/>
      <c r="M43" s="55"/>
      <c r="N43" s="55"/>
      <c r="O43" s="55"/>
      <c r="P43" s="55"/>
      <c r="Q43" s="56"/>
      <c r="T43" s="54"/>
      <c r="U43" s="55"/>
      <c r="V43" s="55"/>
      <c r="W43" s="55"/>
      <c r="X43" s="55"/>
      <c r="Y43" s="55"/>
      <c r="Z43" s="56"/>
      <c r="AC43" s="54"/>
      <c r="AD43" s="55"/>
      <c r="AE43" s="55"/>
      <c r="AF43" s="55"/>
      <c r="AG43" s="55"/>
      <c r="AH43" s="55"/>
      <c r="AI43" s="56"/>
    </row>
    <row r="44" spans="2:35" ht="15" customHeight="1">
      <c r="B44" s="57"/>
      <c r="C44" s="58"/>
      <c r="D44" s="58"/>
      <c r="E44" s="58"/>
      <c r="F44" s="58"/>
      <c r="G44" s="58"/>
      <c r="H44" s="59"/>
      <c r="K44" s="57"/>
      <c r="L44" s="58"/>
      <c r="M44" s="58"/>
      <c r="N44" s="58"/>
      <c r="O44" s="58"/>
      <c r="P44" s="58"/>
      <c r="Q44" s="59"/>
      <c r="T44" s="57"/>
      <c r="U44" s="58"/>
      <c r="V44" s="58"/>
      <c r="W44" s="58"/>
      <c r="X44" s="58"/>
      <c r="Y44" s="58"/>
      <c r="Z44" s="59"/>
      <c r="AC44" s="57"/>
      <c r="AD44" s="58"/>
      <c r="AE44" s="58"/>
      <c r="AF44" s="58"/>
      <c r="AG44" s="58"/>
      <c r="AH44" s="58"/>
      <c r="AI44" s="59"/>
    </row>
  </sheetData>
  <mergeCells count="18">
    <mergeCell ref="T36:Z37"/>
    <mergeCell ref="T38:Z44"/>
    <mergeCell ref="AC36:AI37"/>
    <mergeCell ref="AC38:AI44"/>
    <mergeCell ref="B25:H26"/>
    <mergeCell ref="B27:H33"/>
    <mergeCell ref="K25:Q26"/>
    <mergeCell ref="K27:Q33"/>
    <mergeCell ref="B36:H37"/>
    <mergeCell ref="B38:H44"/>
    <mergeCell ref="K36:Q37"/>
    <mergeCell ref="K38:Q44"/>
    <mergeCell ref="O6:U22"/>
    <mergeCell ref="O2:U5"/>
    <mergeCell ref="T25:Z26"/>
    <mergeCell ref="T27:Z33"/>
    <mergeCell ref="AC25:AI26"/>
    <mergeCell ref="AC27:AI3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EECDE-DD61-4D1B-A515-B6F3577627E6}">
  <dimension ref="B2:I201"/>
  <sheetViews>
    <sheetView topLeftCell="A2" workbookViewId="0">
      <selection activeCell="K113" sqref="K113"/>
    </sheetView>
  </sheetViews>
  <sheetFormatPr defaultRowHeight="26.25" customHeight="1"/>
  <cols>
    <col min="2" max="7" width="22.7109375" customWidth="1"/>
    <col min="8" max="9" width="22.85546875" customWidth="1"/>
  </cols>
  <sheetData>
    <row r="2" spans="2:9" ht="26.25" customHeight="1">
      <c r="B2" s="1" t="s">
        <v>13</v>
      </c>
      <c r="C2" s="2" t="s">
        <v>14</v>
      </c>
      <c r="D2" s="3" t="s">
        <v>15</v>
      </c>
      <c r="E2" s="4" t="s">
        <v>16</v>
      </c>
      <c r="F2" s="4" t="s">
        <v>17</v>
      </c>
      <c r="G2" s="4" t="s">
        <v>18</v>
      </c>
      <c r="H2" s="24" t="s">
        <v>19</v>
      </c>
      <c r="I2" s="23" t="s">
        <v>20</v>
      </c>
    </row>
    <row r="3" spans="2:9" ht="26.25" customHeight="1">
      <c r="B3" s="9">
        <v>46237</v>
      </c>
      <c r="C3" s="10" t="s">
        <v>21</v>
      </c>
      <c r="D3" s="11">
        <v>6</v>
      </c>
      <c r="E3" s="12">
        <v>270</v>
      </c>
      <c r="F3" s="12">
        <v>253</v>
      </c>
      <c r="G3" s="12">
        <f>(E3-F3)*D3</f>
        <v>102</v>
      </c>
      <c r="H3" s="20" t="str">
        <f>TEXT(B3,"dddd")</f>
        <v>Monday</v>
      </c>
      <c r="I3" s="25" t="str">
        <f t="shared" ref="I3:I34" si="0">"Week " &amp; (INT((B3 - DATE(2026,8,3)) / 7) + 1)</f>
        <v>Week 1</v>
      </c>
    </row>
    <row r="4" spans="2:9" ht="26.25" customHeight="1">
      <c r="B4" s="9">
        <v>46237</v>
      </c>
      <c r="C4" s="5" t="s">
        <v>22</v>
      </c>
      <c r="D4" s="6">
        <v>1</v>
      </c>
      <c r="E4" s="12">
        <v>1100</v>
      </c>
      <c r="F4" s="12">
        <v>980</v>
      </c>
      <c r="G4" s="12">
        <f t="shared" ref="G4:G56" si="1">(E4-F4)*D4</f>
        <v>120</v>
      </c>
      <c r="H4" s="20" t="str">
        <f t="shared" ref="H4:H56" si="2">TEXT(B4,"dddd")</f>
        <v>Monday</v>
      </c>
      <c r="I4" s="19" t="str">
        <f t="shared" si="0"/>
        <v>Week 1</v>
      </c>
    </row>
    <row r="5" spans="2:9" ht="26.25" customHeight="1">
      <c r="B5" s="9">
        <v>46237</v>
      </c>
      <c r="C5" s="5" t="s">
        <v>23</v>
      </c>
      <c r="D5" s="6">
        <v>2</v>
      </c>
      <c r="E5" s="12">
        <v>260</v>
      </c>
      <c r="F5" s="12">
        <v>234</v>
      </c>
      <c r="G5" s="12">
        <f t="shared" si="1"/>
        <v>52</v>
      </c>
      <c r="H5" s="20" t="str">
        <f t="shared" si="2"/>
        <v>Monday</v>
      </c>
      <c r="I5" s="19" t="str">
        <f t="shared" si="0"/>
        <v>Week 1</v>
      </c>
    </row>
    <row r="6" spans="2:9" ht="26.25" customHeight="1">
      <c r="B6" s="9">
        <v>46237</v>
      </c>
      <c r="C6" s="5" t="s">
        <v>24</v>
      </c>
      <c r="D6" s="6">
        <v>1</v>
      </c>
      <c r="E6" s="12">
        <v>1300</v>
      </c>
      <c r="F6" s="12">
        <v>1180</v>
      </c>
      <c r="G6" s="12">
        <f t="shared" si="1"/>
        <v>120</v>
      </c>
      <c r="H6" s="20" t="str">
        <f t="shared" si="2"/>
        <v>Monday</v>
      </c>
      <c r="I6" s="19" t="str">
        <f t="shared" si="0"/>
        <v>Week 1</v>
      </c>
    </row>
    <row r="7" spans="2:9" ht="26.25" customHeight="1">
      <c r="B7" s="9">
        <v>46237</v>
      </c>
      <c r="C7" s="5" t="s">
        <v>25</v>
      </c>
      <c r="D7" s="6">
        <v>4</v>
      </c>
      <c r="E7" s="12">
        <v>40</v>
      </c>
      <c r="F7" s="12">
        <v>33</v>
      </c>
      <c r="G7" s="12">
        <f t="shared" si="1"/>
        <v>28</v>
      </c>
      <c r="H7" s="20" t="str">
        <f t="shared" si="2"/>
        <v>Monday</v>
      </c>
      <c r="I7" s="19" t="str">
        <f t="shared" si="0"/>
        <v>Week 1</v>
      </c>
    </row>
    <row r="8" spans="2:9" ht="26.25" customHeight="1">
      <c r="B8" s="9">
        <v>46237</v>
      </c>
      <c r="C8" s="5" t="s">
        <v>26</v>
      </c>
      <c r="D8" s="6">
        <v>8</v>
      </c>
      <c r="E8" s="12">
        <v>10</v>
      </c>
      <c r="F8" s="12">
        <v>9.1</v>
      </c>
      <c r="G8" s="12">
        <f t="shared" si="1"/>
        <v>7.2000000000000028</v>
      </c>
      <c r="H8" s="20" t="str">
        <f t="shared" si="2"/>
        <v>Monday</v>
      </c>
      <c r="I8" s="19" t="str">
        <f t="shared" si="0"/>
        <v>Week 1</v>
      </c>
    </row>
    <row r="9" spans="2:9" ht="26.25" customHeight="1">
      <c r="B9" s="9">
        <v>46237</v>
      </c>
      <c r="C9" s="5" t="s">
        <v>27</v>
      </c>
      <c r="D9" s="6">
        <v>1</v>
      </c>
      <c r="E9" s="12">
        <v>350</v>
      </c>
      <c r="F9" s="12">
        <v>280</v>
      </c>
      <c r="G9" s="12">
        <f t="shared" si="1"/>
        <v>70</v>
      </c>
      <c r="H9" s="20" t="str">
        <f t="shared" si="2"/>
        <v>Monday</v>
      </c>
      <c r="I9" s="19" t="str">
        <f t="shared" si="0"/>
        <v>Week 1</v>
      </c>
    </row>
    <row r="10" spans="2:9" ht="26.25" customHeight="1">
      <c r="B10" s="9">
        <v>46237</v>
      </c>
      <c r="C10" s="5" t="s">
        <v>28</v>
      </c>
      <c r="D10" s="6">
        <v>6</v>
      </c>
      <c r="E10" s="12">
        <v>60</v>
      </c>
      <c r="F10" s="12">
        <v>51</v>
      </c>
      <c r="G10" s="12">
        <f t="shared" si="1"/>
        <v>54</v>
      </c>
      <c r="H10" s="20" t="str">
        <f t="shared" si="2"/>
        <v>Monday</v>
      </c>
      <c r="I10" s="19" t="str">
        <f t="shared" si="0"/>
        <v>Week 1</v>
      </c>
    </row>
    <row r="11" spans="2:9" ht="26.25" customHeight="1">
      <c r="B11" s="9">
        <v>46237</v>
      </c>
      <c r="C11" s="5" t="s">
        <v>29</v>
      </c>
      <c r="D11" s="6">
        <v>3</v>
      </c>
      <c r="E11" s="12">
        <v>60</v>
      </c>
      <c r="F11" s="12">
        <v>57</v>
      </c>
      <c r="G11" s="12">
        <f t="shared" si="1"/>
        <v>9</v>
      </c>
      <c r="H11" s="20" t="str">
        <f t="shared" si="2"/>
        <v>Monday</v>
      </c>
      <c r="I11" s="19" t="str">
        <f t="shared" si="0"/>
        <v>Week 1</v>
      </c>
    </row>
    <row r="12" spans="2:9" ht="26.25" customHeight="1">
      <c r="B12" s="9">
        <v>46238</v>
      </c>
      <c r="C12" s="5" t="s">
        <v>30</v>
      </c>
      <c r="D12" s="6">
        <v>6</v>
      </c>
      <c r="E12" s="12">
        <v>550</v>
      </c>
      <c r="F12" s="12">
        <v>523</v>
      </c>
      <c r="G12" s="12">
        <f t="shared" si="1"/>
        <v>162</v>
      </c>
      <c r="H12" s="20" t="str">
        <f t="shared" si="2"/>
        <v>Tuesday</v>
      </c>
      <c r="I12" s="19" t="str">
        <f t="shared" si="0"/>
        <v>Week 1</v>
      </c>
    </row>
    <row r="13" spans="2:9" ht="26.25" customHeight="1">
      <c r="B13" s="9">
        <v>46238</v>
      </c>
      <c r="C13" s="5" t="s">
        <v>31</v>
      </c>
      <c r="D13" s="6">
        <v>6</v>
      </c>
      <c r="E13" s="12">
        <v>90</v>
      </c>
      <c r="F13" s="12">
        <v>78</v>
      </c>
      <c r="G13" s="12">
        <f t="shared" si="1"/>
        <v>72</v>
      </c>
      <c r="H13" s="20" t="str">
        <f t="shared" si="2"/>
        <v>Tuesday</v>
      </c>
      <c r="I13" s="19" t="str">
        <f t="shared" si="0"/>
        <v>Week 1</v>
      </c>
    </row>
    <row r="14" spans="2:9" ht="26.25" customHeight="1">
      <c r="B14" s="9">
        <v>46238</v>
      </c>
      <c r="C14" s="5" t="s">
        <v>32</v>
      </c>
      <c r="D14" s="6">
        <v>4</v>
      </c>
      <c r="E14" s="12">
        <v>110</v>
      </c>
      <c r="F14" s="12">
        <v>89</v>
      </c>
      <c r="G14" s="12">
        <f t="shared" si="1"/>
        <v>84</v>
      </c>
      <c r="H14" s="20" t="str">
        <f t="shared" si="2"/>
        <v>Tuesday</v>
      </c>
      <c r="I14" s="19" t="str">
        <f t="shared" si="0"/>
        <v>Week 1</v>
      </c>
    </row>
    <row r="15" spans="2:9" ht="26.25" customHeight="1">
      <c r="B15" s="9">
        <v>46238</v>
      </c>
      <c r="C15" s="5" t="s">
        <v>33</v>
      </c>
      <c r="D15" s="6">
        <v>2</v>
      </c>
      <c r="E15" s="12">
        <v>140</v>
      </c>
      <c r="F15" s="12">
        <v>125</v>
      </c>
      <c r="G15" s="12">
        <f t="shared" si="1"/>
        <v>30</v>
      </c>
      <c r="H15" s="20" t="str">
        <f t="shared" si="2"/>
        <v>Tuesday</v>
      </c>
      <c r="I15" s="19" t="str">
        <f t="shared" si="0"/>
        <v>Week 1</v>
      </c>
    </row>
    <row r="16" spans="2:9" ht="26.25" customHeight="1">
      <c r="B16" s="9">
        <v>46238</v>
      </c>
      <c r="C16" s="5" t="s">
        <v>34</v>
      </c>
      <c r="D16" s="6">
        <v>2</v>
      </c>
      <c r="E16" s="12">
        <v>35</v>
      </c>
      <c r="F16" s="12">
        <v>28</v>
      </c>
      <c r="G16" s="12">
        <f t="shared" si="1"/>
        <v>14</v>
      </c>
      <c r="H16" s="20" t="str">
        <f t="shared" si="2"/>
        <v>Tuesday</v>
      </c>
      <c r="I16" s="19" t="str">
        <f t="shared" si="0"/>
        <v>Week 1</v>
      </c>
    </row>
    <row r="17" spans="2:9" ht="26.25" customHeight="1">
      <c r="B17" s="9">
        <v>46238</v>
      </c>
      <c r="C17" s="5" t="s">
        <v>28</v>
      </c>
      <c r="D17" s="6">
        <v>3</v>
      </c>
      <c r="E17" s="12">
        <v>60</v>
      </c>
      <c r="F17" s="12">
        <v>51</v>
      </c>
      <c r="G17" s="12">
        <f t="shared" si="1"/>
        <v>27</v>
      </c>
      <c r="H17" s="20" t="str">
        <f t="shared" si="2"/>
        <v>Tuesday</v>
      </c>
      <c r="I17" s="19" t="str">
        <f t="shared" si="0"/>
        <v>Week 1</v>
      </c>
    </row>
    <row r="18" spans="2:9" ht="26.25" customHeight="1">
      <c r="B18" s="9">
        <v>46238</v>
      </c>
      <c r="C18" s="5" t="s">
        <v>35</v>
      </c>
      <c r="D18" s="6">
        <v>7</v>
      </c>
      <c r="E18" s="12">
        <v>10</v>
      </c>
      <c r="F18" s="12">
        <v>8</v>
      </c>
      <c r="G18" s="12">
        <f t="shared" si="1"/>
        <v>14</v>
      </c>
      <c r="H18" s="20" t="str">
        <f t="shared" si="2"/>
        <v>Tuesday</v>
      </c>
      <c r="I18" s="19" t="str">
        <f t="shared" si="0"/>
        <v>Week 1</v>
      </c>
    </row>
    <row r="19" spans="2:9" ht="26.25" customHeight="1">
      <c r="B19" s="9">
        <v>46238</v>
      </c>
      <c r="C19" s="5" t="s">
        <v>36</v>
      </c>
      <c r="D19" s="6">
        <v>2</v>
      </c>
      <c r="E19" s="12">
        <v>700</v>
      </c>
      <c r="F19" s="12">
        <v>560</v>
      </c>
      <c r="G19" s="12">
        <f t="shared" si="1"/>
        <v>280</v>
      </c>
      <c r="H19" s="20" t="str">
        <f t="shared" si="2"/>
        <v>Tuesday</v>
      </c>
      <c r="I19" s="19" t="str">
        <f t="shared" si="0"/>
        <v>Week 1</v>
      </c>
    </row>
    <row r="20" spans="2:9" ht="26.25" customHeight="1">
      <c r="B20" s="9">
        <v>46239</v>
      </c>
      <c r="C20" s="5" t="s">
        <v>37</v>
      </c>
      <c r="D20" s="6">
        <v>2</v>
      </c>
      <c r="E20" s="12">
        <v>330</v>
      </c>
      <c r="F20" s="12">
        <v>297</v>
      </c>
      <c r="G20" s="12">
        <f t="shared" si="1"/>
        <v>66</v>
      </c>
      <c r="H20" s="20" t="str">
        <f t="shared" si="2"/>
        <v>Wednesday</v>
      </c>
      <c r="I20" s="19" t="str">
        <f t="shared" si="0"/>
        <v>Week 1</v>
      </c>
    </row>
    <row r="21" spans="2:9" ht="26.25" customHeight="1">
      <c r="B21" s="9">
        <v>46239</v>
      </c>
      <c r="C21" s="5" t="s">
        <v>38</v>
      </c>
      <c r="D21" s="6">
        <v>5</v>
      </c>
      <c r="E21" s="12">
        <v>50</v>
      </c>
      <c r="F21" s="12">
        <v>39</v>
      </c>
      <c r="G21" s="12">
        <f t="shared" si="1"/>
        <v>55</v>
      </c>
      <c r="H21" s="20" t="str">
        <f t="shared" si="2"/>
        <v>Wednesday</v>
      </c>
      <c r="I21" s="19" t="str">
        <f t="shared" si="0"/>
        <v>Week 1</v>
      </c>
    </row>
    <row r="22" spans="2:9" ht="26.25" customHeight="1">
      <c r="B22" s="9">
        <v>46239</v>
      </c>
      <c r="C22" s="5" t="s">
        <v>39</v>
      </c>
      <c r="D22" s="6">
        <v>6</v>
      </c>
      <c r="E22" s="12">
        <v>60</v>
      </c>
      <c r="F22" s="12">
        <v>52</v>
      </c>
      <c r="G22" s="12">
        <f t="shared" si="1"/>
        <v>48</v>
      </c>
      <c r="H22" s="20" t="str">
        <f t="shared" si="2"/>
        <v>Wednesday</v>
      </c>
      <c r="I22" s="19" t="str">
        <f t="shared" si="0"/>
        <v>Week 1</v>
      </c>
    </row>
    <row r="23" spans="2:9" ht="26.25" customHeight="1">
      <c r="B23" s="9">
        <v>46239</v>
      </c>
      <c r="C23" s="5" t="s">
        <v>40</v>
      </c>
      <c r="D23" s="6">
        <v>2</v>
      </c>
      <c r="E23" s="12">
        <v>110</v>
      </c>
      <c r="F23" s="12">
        <v>92</v>
      </c>
      <c r="G23" s="12">
        <f t="shared" si="1"/>
        <v>36</v>
      </c>
      <c r="H23" s="20" t="str">
        <f t="shared" si="2"/>
        <v>Wednesday</v>
      </c>
      <c r="I23" s="19" t="str">
        <f t="shared" si="0"/>
        <v>Week 1</v>
      </c>
    </row>
    <row r="24" spans="2:9" ht="26.25" customHeight="1">
      <c r="B24" s="9">
        <v>46239</v>
      </c>
      <c r="C24" s="5" t="s">
        <v>34</v>
      </c>
      <c r="D24" s="6">
        <v>2</v>
      </c>
      <c r="E24" s="12">
        <v>35</v>
      </c>
      <c r="F24" s="12">
        <v>28</v>
      </c>
      <c r="G24" s="12">
        <f t="shared" si="1"/>
        <v>14</v>
      </c>
      <c r="H24" s="20" t="str">
        <f t="shared" si="2"/>
        <v>Wednesday</v>
      </c>
      <c r="I24" s="19" t="str">
        <f t="shared" si="0"/>
        <v>Week 1</v>
      </c>
    </row>
    <row r="25" spans="2:9" ht="26.25" customHeight="1">
      <c r="B25" s="9">
        <v>46239</v>
      </c>
      <c r="C25" s="5" t="s">
        <v>41</v>
      </c>
      <c r="D25" s="6">
        <v>6</v>
      </c>
      <c r="E25" s="12">
        <v>20</v>
      </c>
      <c r="F25" s="12">
        <v>16.5</v>
      </c>
      <c r="G25" s="12">
        <f t="shared" si="1"/>
        <v>21</v>
      </c>
      <c r="H25" s="20" t="str">
        <f t="shared" si="2"/>
        <v>Wednesday</v>
      </c>
      <c r="I25" s="19" t="str">
        <f t="shared" si="0"/>
        <v>Week 1</v>
      </c>
    </row>
    <row r="26" spans="2:9" ht="26.25" customHeight="1">
      <c r="B26" s="9">
        <v>46239</v>
      </c>
      <c r="C26" s="5" t="s">
        <v>42</v>
      </c>
      <c r="D26" s="6">
        <v>2</v>
      </c>
      <c r="E26" s="12">
        <v>50</v>
      </c>
      <c r="F26" s="12">
        <v>34</v>
      </c>
      <c r="G26" s="12">
        <f t="shared" si="1"/>
        <v>32</v>
      </c>
      <c r="H26" s="20" t="str">
        <f t="shared" si="2"/>
        <v>Wednesday</v>
      </c>
      <c r="I26" s="19" t="str">
        <f t="shared" si="0"/>
        <v>Week 1</v>
      </c>
    </row>
    <row r="27" spans="2:9" ht="26.25" customHeight="1">
      <c r="B27" s="9">
        <v>46240</v>
      </c>
      <c r="C27" s="5" t="s">
        <v>43</v>
      </c>
      <c r="D27" s="6">
        <v>2</v>
      </c>
      <c r="E27" s="12">
        <v>70</v>
      </c>
      <c r="F27" s="12">
        <v>46</v>
      </c>
      <c r="G27" s="12">
        <f t="shared" si="1"/>
        <v>48</v>
      </c>
      <c r="H27" s="20" t="str">
        <f t="shared" si="2"/>
        <v>Thursday</v>
      </c>
      <c r="I27" s="19" t="str">
        <f t="shared" si="0"/>
        <v>Week 1</v>
      </c>
    </row>
    <row r="28" spans="2:9" ht="26.25" customHeight="1">
      <c r="B28" s="9">
        <v>46240</v>
      </c>
      <c r="C28" s="5" t="s">
        <v>44</v>
      </c>
      <c r="D28" s="6">
        <v>2</v>
      </c>
      <c r="E28" s="12">
        <v>110</v>
      </c>
      <c r="F28" s="12">
        <v>63</v>
      </c>
      <c r="G28" s="12">
        <f t="shared" si="1"/>
        <v>94</v>
      </c>
      <c r="H28" s="20" t="str">
        <f t="shared" si="2"/>
        <v>Thursday</v>
      </c>
      <c r="I28" s="19" t="str">
        <f t="shared" si="0"/>
        <v>Week 1</v>
      </c>
    </row>
    <row r="29" spans="2:9" ht="26.25" customHeight="1">
      <c r="B29" s="9">
        <v>46240</v>
      </c>
      <c r="C29" s="5" t="s">
        <v>45</v>
      </c>
      <c r="D29" s="6">
        <v>2</v>
      </c>
      <c r="E29" s="12">
        <v>1900</v>
      </c>
      <c r="F29" s="12">
        <v>1772</v>
      </c>
      <c r="G29" s="12">
        <f t="shared" si="1"/>
        <v>256</v>
      </c>
      <c r="H29" s="20" t="str">
        <f t="shared" si="2"/>
        <v>Thursday</v>
      </c>
      <c r="I29" s="19" t="str">
        <f t="shared" si="0"/>
        <v>Week 1</v>
      </c>
    </row>
    <row r="30" spans="2:9" ht="26.25" customHeight="1">
      <c r="B30" s="9">
        <v>46240</v>
      </c>
      <c r="C30" s="5" t="s">
        <v>46</v>
      </c>
      <c r="D30" s="6">
        <v>2</v>
      </c>
      <c r="E30" s="12">
        <v>90</v>
      </c>
      <c r="F30" s="12">
        <v>71</v>
      </c>
      <c r="G30" s="12">
        <f t="shared" si="1"/>
        <v>38</v>
      </c>
      <c r="H30" s="20" t="str">
        <f t="shared" si="2"/>
        <v>Thursday</v>
      </c>
      <c r="I30" s="19" t="str">
        <f t="shared" si="0"/>
        <v>Week 1</v>
      </c>
    </row>
    <row r="31" spans="2:9" ht="26.25" customHeight="1">
      <c r="B31" s="9">
        <v>46240</v>
      </c>
      <c r="C31" s="5" t="s">
        <v>47</v>
      </c>
      <c r="D31" s="6">
        <v>4</v>
      </c>
      <c r="E31" s="12">
        <v>120</v>
      </c>
      <c r="F31" s="12">
        <v>96</v>
      </c>
      <c r="G31" s="12">
        <f t="shared" si="1"/>
        <v>96</v>
      </c>
      <c r="H31" s="20" t="str">
        <f t="shared" si="2"/>
        <v>Thursday</v>
      </c>
      <c r="I31" s="19" t="str">
        <f t="shared" si="0"/>
        <v>Week 1</v>
      </c>
    </row>
    <row r="32" spans="2:9" ht="26.25" customHeight="1">
      <c r="B32" s="9">
        <v>46240</v>
      </c>
      <c r="C32" s="5" t="s">
        <v>48</v>
      </c>
      <c r="D32" s="6">
        <v>2</v>
      </c>
      <c r="E32" s="12">
        <v>40</v>
      </c>
      <c r="F32" s="12">
        <v>27</v>
      </c>
      <c r="G32" s="12">
        <f t="shared" si="1"/>
        <v>26</v>
      </c>
      <c r="H32" s="20" t="str">
        <f t="shared" si="2"/>
        <v>Thursday</v>
      </c>
      <c r="I32" s="19" t="str">
        <f t="shared" si="0"/>
        <v>Week 1</v>
      </c>
    </row>
    <row r="33" spans="2:9" ht="26.25" customHeight="1">
      <c r="B33" s="9">
        <v>46241</v>
      </c>
      <c r="C33" s="5" t="s">
        <v>21</v>
      </c>
      <c r="D33" s="6">
        <v>8</v>
      </c>
      <c r="E33" s="12">
        <v>270</v>
      </c>
      <c r="F33" s="12">
        <v>253</v>
      </c>
      <c r="G33" s="12">
        <f t="shared" si="1"/>
        <v>136</v>
      </c>
      <c r="H33" s="20" t="str">
        <f t="shared" si="2"/>
        <v>Friday</v>
      </c>
      <c r="I33" s="19" t="str">
        <f t="shared" si="0"/>
        <v>Week 1</v>
      </c>
    </row>
    <row r="34" spans="2:9" ht="26.25" customHeight="1">
      <c r="B34" s="9">
        <v>46241</v>
      </c>
      <c r="C34" s="5" t="s">
        <v>49</v>
      </c>
      <c r="D34" s="6">
        <v>15</v>
      </c>
      <c r="E34" s="12">
        <v>30</v>
      </c>
      <c r="F34" s="12">
        <v>23.5</v>
      </c>
      <c r="G34" s="12">
        <f t="shared" si="1"/>
        <v>97.5</v>
      </c>
      <c r="H34" s="20" t="str">
        <f t="shared" si="2"/>
        <v>Friday</v>
      </c>
      <c r="I34" s="19" t="str">
        <f t="shared" si="0"/>
        <v>Week 1</v>
      </c>
    </row>
    <row r="35" spans="2:9" ht="26.25" customHeight="1">
      <c r="B35" s="9">
        <v>46241</v>
      </c>
      <c r="C35" s="5" t="s">
        <v>50</v>
      </c>
      <c r="D35" s="6">
        <v>8</v>
      </c>
      <c r="E35" s="12">
        <v>25</v>
      </c>
      <c r="F35" s="12">
        <v>22</v>
      </c>
      <c r="G35" s="12">
        <f t="shared" si="1"/>
        <v>24</v>
      </c>
      <c r="H35" s="20" t="str">
        <f t="shared" si="2"/>
        <v>Friday</v>
      </c>
      <c r="I35" s="19" t="str">
        <f t="shared" ref="I35:I58" si="3">"Week " &amp; (INT((B35 - DATE(2026,8,3)) / 7) + 1)</f>
        <v>Week 1</v>
      </c>
    </row>
    <row r="36" spans="2:9" ht="26.25" customHeight="1">
      <c r="B36" s="9">
        <v>46241</v>
      </c>
      <c r="C36" s="5" t="s">
        <v>51</v>
      </c>
      <c r="D36" s="6">
        <v>2</v>
      </c>
      <c r="E36" s="12">
        <v>160</v>
      </c>
      <c r="F36" s="12">
        <v>122</v>
      </c>
      <c r="G36" s="12">
        <f t="shared" si="1"/>
        <v>76</v>
      </c>
      <c r="H36" s="20" t="str">
        <f t="shared" si="2"/>
        <v>Friday</v>
      </c>
      <c r="I36" s="19" t="str">
        <f t="shared" si="3"/>
        <v>Week 1</v>
      </c>
    </row>
    <row r="37" spans="2:9" ht="26.25" customHeight="1">
      <c r="B37" s="9">
        <v>46241</v>
      </c>
      <c r="C37" s="5" t="s">
        <v>52</v>
      </c>
      <c r="D37" s="6">
        <v>20</v>
      </c>
      <c r="E37" s="12">
        <v>4</v>
      </c>
      <c r="F37" s="12">
        <v>1.6</v>
      </c>
      <c r="G37" s="12">
        <f t="shared" si="1"/>
        <v>48</v>
      </c>
      <c r="H37" s="20" t="str">
        <f t="shared" si="2"/>
        <v>Friday</v>
      </c>
      <c r="I37" s="19" t="str">
        <f t="shared" si="3"/>
        <v>Week 1</v>
      </c>
    </row>
    <row r="38" spans="2:9" ht="26.25" customHeight="1">
      <c r="B38" s="9">
        <v>46241</v>
      </c>
      <c r="C38" s="5" t="s">
        <v>53</v>
      </c>
      <c r="D38" s="6">
        <v>1</v>
      </c>
      <c r="E38" s="12">
        <v>1200</v>
      </c>
      <c r="F38" s="12">
        <v>980</v>
      </c>
      <c r="G38" s="12">
        <f t="shared" si="1"/>
        <v>220</v>
      </c>
      <c r="H38" s="20" t="str">
        <f t="shared" si="2"/>
        <v>Friday</v>
      </c>
      <c r="I38" s="19" t="str">
        <f t="shared" si="3"/>
        <v>Week 1</v>
      </c>
    </row>
    <row r="39" spans="2:9" ht="26.25" customHeight="1">
      <c r="B39" s="9">
        <v>46242</v>
      </c>
      <c r="C39" s="5" t="s">
        <v>54</v>
      </c>
      <c r="D39" s="6">
        <v>3</v>
      </c>
      <c r="E39" s="12">
        <v>50</v>
      </c>
      <c r="F39" s="12">
        <v>39.5</v>
      </c>
      <c r="G39" s="12">
        <f t="shared" si="1"/>
        <v>31.5</v>
      </c>
      <c r="H39" s="20" t="str">
        <f t="shared" si="2"/>
        <v>Saturday</v>
      </c>
      <c r="I39" s="19" t="str">
        <f t="shared" si="3"/>
        <v>Week 1</v>
      </c>
    </row>
    <row r="40" spans="2:9" ht="26.25" customHeight="1">
      <c r="B40" s="9">
        <v>46242</v>
      </c>
      <c r="C40" s="5" t="s">
        <v>55</v>
      </c>
      <c r="D40" s="6">
        <v>6</v>
      </c>
      <c r="E40" s="12">
        <v>10</v>
      </c>
      <c r="F40" s="12">
        <v>9.1</v>
      </c>
      <c r="G40" s="12">
        <f t="shared" si="1"/>
        <v>5.4000000000000021</v>
      </c>
      <c r="H40" s="20" t="str">
        <f t="shared" si="2"/>
        <v>Saturday</v>
      </c>
      <c r="I40" s="19" t="str">
        <f t="shared" si="3"/>
        <v>Week 1</v>
      </c>
    </row>
    <row r="41" spans="2:9" ht="26.25" customHeight="1">
      <c r="B41" s="9">
        <v>46242</v>
      </c>
      <c r="C41" s="5" t="s">
        <v>56</v>
      </c>
      <c r="D41" s="6">
        <v>2</v>
      </c>
      <c r="E41" s="12">
        <v>110</v>
      </c>
      <c r="F41" s="12">
        <v>73</v>
      </c>
      <c r="G41" s="12">
        <f t="shared" si="1"/>
        <v>74</v>
      </c>
      <c r="H41" s="20" t="str">
        <f t="shared" si="2"/>
        <v>Saturday</v>
      </c>
      <c r="I41" s="19" t="str">
        <f t="shared" si="3"/>
        <v>Week 1</v>
      </c>
    </row>
    <row r="42" spans="2:9" ht="26.25" customHeight="1">
      <c r="B42" s="9">
        <v>46242</v>
      </c>
      <c r="C42" s="5" t="s">
        <v>57</v>
      </c>
      <c r="D42" s="6">
        <v>3</v>
      </c>
      <c r="E42" s="12">
        <v>130</v>
      </c>
      <c r="F42" s="12">
        <v>112</v>
      </c>
      <c r="G42" s="12">
        <f t="shared" si="1"/>
        <v>54</v>
      </c>
      <c r="H42" s="20" t="str">
        <f t="shared" si="2"/>
        <v>Saturday</v>
      </c>
      <c r="I42" s="19" t="str">
        <f t="shared" si="3"/>
        <v>Week 1</v>
      </c>
    </row>
    <row r="43" spans="2:9" ht="26.25" customHeight="1">
      <c r="B43" s="9">
        <v>46242</v>
      </c>
      <c r="C43" s="5" t="s">
        <v>28</v>
      </c>
      <c r="D43" s="6">
        <v>5</v>
      </c>
      <c r="E43" s="12">
        <v>60</v>
      </c>
      <c r="F43" s="12">
        <v>51</v>
      </c>
      <c r="G43" s="12">
        <f t="shared" si="1"/>
        <v>45</v>
      </c>
      <c r="H43" s="20" t="str">
        <f t="shared" si="2"/>
        <v>Saturday</v>
      </c>
      <c r="I43" s="19" t="str">
        <f t="shared" si="3"/>
        <v>Week 1</v>
      </c>
    </row>
    <row r="44" spans="2:9" ht="26.25" customHeight="1">
      <c r="B44" s="9">
        <v>46242</v>
      </c>
      <c r="C44" s="5" t="s">
        <v>55</v>
      </c>
      <c r="D44" s="6">
        <v>15</v>
      </c>
      <c r="E44" s="12">
        <v>10</v>
      </c>
      <c r="F44" s="12">
        <v>9.1</v>
      </c>
      <c r="G44" s="12">
        <f t="shared" si="1"/>
        <v>13.500000000000005</v>
      </c>
      <c r="H44" s="20" t="str">
        <f t="shared" si="2"/>
        <v>Saturday</v>
      </c>
      <c r="I44" s="19" t="str">
        <f t="shared" si="3"/>
        <v>Week 1</v>
      </c>
    </row>
    <row r="45" spans="2:9" ht="26.25" customHeight="1">
      <c r="B45" s="9">
        <v>46242</v>
      </c>
      <c r="C45" s="5" t="s">
        <v>36</v>
      </c>
      <c r="D45" s="6">
        <v>2</v>
      </c>
      <c r="E45" s="12">
        <v>420</v>
      </c>
      <c r="F45" s="12">
        <v>370</v>
      </c>
      <c r="G45" s="12">
        <f t="shared" si="1"/>
        <v>100</v>
      </c>
      <c r="H45" s="20" t="str">
        <f t="shared" si="2"/>
        <v>Saturday</v>
      </c>
      <c r="I45" s="19" t="str">
        <f t="shared" si="3"/>
        <v>Week 1</v>
      </c>
    </row>
    <row r="46" spans="2:9" ht="26.25" customHeight="1">
      <c r="B46" s="9">
        <v>46242</v>
      </c>
      <c r="C46" s="5" t="s">
        <v>25</v>
      </c>
      <c r="D46" s="6">
        <v>6</v>
      </c>
      <c r="E46" s="12">
        <v>20</v>
      </c>
      <c r="F46" s="12">
        <v>14</v>
      </c>
      <c r="G46" s="12">
        <f t="shared" si="1"/>
        <v>36</v>
      </c>
      <c r="H46" s="20" t="str">
        <f t="shared" si="2"/>
        <v>Saturday</v>
      </c>
      <c r="I46" s="19" t="str">
        <f t="shared" si="3"/>
        <v>Week 1</v>
      </c>
    </row>
    <row r="47" spans="2:9" ht="26.25" customHeight="1">
      <c r="B47" s="9">
        <v>46242</v>
      </c>
      <c r="C47" s="5" t="s">
        <v>58</v>
      </c>
      <c r="D47" s="6">
        <v>1</v>
      </c>
      <c r="E47" s="12">
        <v>380</v>
      </c>
      <c r="F47" s="12">
        <v>340</v>
      </c>
      <c r="G47" s="12">
        <f t="shared" si="1"/>
        <v>40</v>
      </c>
      <c r="H47" s="20" t="str">
        <f t="shared" si="2"/>
        <v>Saturday</v>
      </c>
      <c r="I47" s="19" t="str">
        <f t="shared" si="3"/>
        <v>Week 1</v>
      </c>
    </row>
    <row r="48" spans="2:9" ht="26.25" customHeight="1">
      <c r="B48" s="9">
        <v>46243</v>
      </c>
      <c r="C48" s="5" t="s">
        <v>24</v>
      </c>
      <c r="D48" s="6">
        <v>2</v>
      </c>
      <c r="E48" s="12">
        <v>1300</v>
      </c>
      <c r="F48" s="12">
        <v>1125</v>
      </c>
      <c r="G48" s="12">
        <f t="shared" si="1"/>
        <v>350</v>
      </c>
      <c r="H48" s="20" t="str">
        <f t="shared" si="2"/>
        <v>Sunday</v>
      </c>
      <c r="I48" s="19" t="str">
        <f t="shared" si="3"/>
        <v>Week 1</v>
      </c>
    </row>
    <row r="49" spans="2:9" ht="26.25" customHeight="1">
      <c r="B49" s="9">
        <v>46243</v>
      </c>
      <c r="C49" s="5" t="s">
        <v>29</v>
      </c>
      <c r="D49" s="5">
        <v>1</v>
      </c>
      <c r="E49" s="12">
        <v>60</v>
      </c>
      <c r="F49" s="12">
        <v>57</v>
      </c>
      <c r="G49" s="12">
        <f t="shared" si="1"/>
        <v>3</v>
      </c>
      <c r="H49" s="20" t="str">
        <f t="shared" si="2"/>
        <v>Sunday</v>
      </c>
      <c r="I49" s="19" t="str">
        <f t="shared" si="3"/>
        <v>Week 1</v>
      </c>
    </row>
    <row r="50" spans="2:9" ht="26.25" customHeight="1">
      <c r="B50" s="9">
        <v>46243</v>
      </c>
      <c r="C50" s="5" t="s">
        <v>59</v>
      </c>
      <c r="D50" s="5">
        <v>1</v>
      </c>
      <c r="E50" s="12">
        <v>60</v>
      </c>
      <c r="F50" s="12">
        <v>40</v>
      </c>
      <c r="G50" s="12">
        <f t="shared" si="1"/>
        <v>20</v>
      </c>
      <c r="H50" s="20" t="str">
        <f t="shared" si="2"/>
        <v>Sunday</v>
      </c>
      <c r="I50" s="19" t="str">
        <f t="shared" si="3"/>
        <v>Week 1</v>
      </c>
    </row>
    <row r="51" spans="2:9" ht="26.25" customHeight="1">
      <c r="B51" s="9">
        <v>46243</v>
      </c>
      <c r="C51" s="5" t="s">
        <v>60</v>
      </c>
      <c r="D51" s="5">
        <v>1</v>
      </c>
      <c r="E51" s="12">
        <v>120</v>
      </c>
      <c r="F51" s="12">
        <v>77</v>
      </c>
      <c r="G51" s="12">
        <f t="shared" si="1"/>
        <v>43</v>
      </c>
      <c r="H51" s="20" t="str">
        <f t="shared" si="2"/>
        <v>Sunday</v>
      </c>
      <c r="I51" s="19" t="str">
        <f t="shared" si="3"/>
        <v>Week 1</v>
      </c>
    </row>
    <row r="52" spans="2:9" ht="26.25" customHeight="1">
      <c r="B52" s="9">
        <v>46243</v>
      </c>
      <c r="C52" s="13" t="s">
        <v>61</v>
      </c>
      <c r="D52" s="5">
        <v>1</v>
      </c>
      <c r="E52" s="12">
        <v>150</v>
      </c>
      <c r="F52" s="12">
        <v>114</v>
      </c>
      <c r="G52" s="12">
        <f t="shared" si="1"/>
        <v>36</v>
      </c>
      <c r="H52" s="20" t="str">
        <f t="shared" si="2"/>
        <v>Sunday</v>
      </c>
      <c r="I52" s="19" t="str">
        <f t="shared" si="3"/>
        <v>Week 1</v>
      </c>
    </row>
    <row r="53" spans="2:9" ht="26.25" customHeight="1">
      <c r="B53" s="9">
        <v>46243</v>
      </c>
      <c r="C53" s="5" t="s">
        <v>62</v>
      </c>
      <c r="D53" s="5">
        <v>1</v>
      </c>
      <c r="E53" s="12">
        <v>550</v>
      </c>
      <c r="F53" s="12">
        <v>480</v>
      </c>
      <c r="G53" s="12">
        <f t="shared" si="1"/>
        <v>70</v>
      </c>
      <c r="H53" s="20" t="str">
        <f t="shared" si="2"/>
        <v>Sunday</v>
      </c>
      <c r="I53" s="19" t="str">
        <f t="shared" si="3"/>
        <v>Week 1</v>
      </c>
    </row>
    <row r="54" spans="2:9" ht="26.25" customHeight="1">
      <c r="B54" s="9">
        <v>46243</v>
      </c>
      <c r="C54" s="5" t="s">
        <v>63</v>
      </c>
      <c r="D54" s="5">
        <v>2</v>
      </c>
      <c r="E54" s="12">
        <v>36</v>
      </c>
      <c r="F54" s="12">
        <v>27</v>
      </c>
      <c r="G54" s="12">
        <f t="shared" si="1"/>
        <v>18</v>
      </c>
      <c r="H54" s="20" t="str">
        <f t="shared" si="2"/>
        <v>Sunday</v>
      </c>
      <c r="I54" s="19" t="str">
        <f t="shared" si="3"/>
        <v>Week 1</v>
      </c>
    </row>
    <row r="55" spans="2:9" ht="26.25" customHeight="1">
      <c r="B55" s="14">
        <v>46243</v>
      </c>
      <c r="C55" s="7" t="s">
        <v>64</v>
      </c>
      <c r="D55" s="7">
        <v>4</v>
      </c>
      <c r="E55" s="15">
        <v>5</v>
      </c>
      <c r="F55" s="15">
        <v>2.2999999999999998</v>
      </c>
      <c r="G55" s="15">
        <f t="shared" si="1"/>
        <v>10.8</v>
      </c>
      <c r="H55" s="21" t="str">
        <f t="shared" si="2"/>
        <v>Sunday</v>
      </c>
      <c r="I55" s="19" t="str">
        <f t="shared" si="3"/>
        <v>Week 1</v>
      </c>
    </row>
    <row r="56" spans="2:9" ht="26.25" customHeight="1">
      <c r="B56" s="16">
        <v>46243</v>
      </c>
      <c r="C56" s="17" t="s">
        <v>65</v>
      </c>
      <c r="D56" s="17">
        <v>3</v>
      </c>
      <c r="E56" s="18">
        <v>20</v>
      </c>
      <c r="F56" s="18">
        <v>15.5</v>
      </c>
      <c r="G56" s="18">
        <f t="shared" si="1"/>
        <v>13.5</v>
      </c>
      <c r="H56" s="22" t="str">
        <f t="shared" si="2"/>
        <v>Sunday</v>
      </c>
      <c r="I56" s="19" t="str">
        <f t="shared" si="3"/>
        <v>Week 1</v>
      </c>
    </row>
    <row r="57" spans="2:9" ht="26.25" customHeight="1">
      <c r="B57" s="26">
        <v>46244</v>
      </c>
      <c r="C57" s="27" t="s">
        <v>66</v>
      </c>
      <c r="D57" s="27">
        <v>1</v>
      </c>
      <c r="E57" s="19">
        <v>350</v>
      </c>
      <c r="F57" s="19">
        <v>280</v>
      </c>
      <c r="G57" s="19">
        <f t="shared" ref="G57:G58" si="4">(E57-F57)*D57</f>
        <v>70</v>
      </c>
      <c r="H57" s="27" t="str">
        <f t="shared" ref="H57:H58" si="5">TEXT(B57,"dddd")</f>
        <v>Monday</v>
      </c>
      <c r="I57" s="28" t="str">
        <f t="shared" si="3"/>
        <v>Week 2</v>
      </c>
    </row>
    <row r="58" spans="2:9" ht="26.25" customHeight="1">
      <c r="B58" s="26">
        <v>46244</v>
      </c>
      <c r="C58" s="27" t="s">
        <v>67</v>
      </c>
      <c r="D58" s="27">
        <v>2</v>
      </c>
      <c r="E58" s="19">
        <v>75</v>
      </c>
      <c r="F58" s="19">
        <v>63.5</v>
      </c>
      <c r="G58" s="19">
        <f t="shared" si="4"/>
        <v>23</v>
      </c>
      <c r="H58" s="27" t="str">
        <f t="shared" si="5"/>
        <v>Monday</v>
      </c>
      <c r="I58" s="28" t="str">
        <f t="shared" si="3"/>
        <v>Week 2</v>
      </c>
    </row>
    <row r="59" spans="2:9" ht="26.25" customHeight="1">
      <c r="B59" s="26">
        <v>46244</v>
      </c>
      <c r="C59" s="93" t="s">
        <v>68</v>
      </c>
      <c r="D59" s="94">
        <v>1</v>
      </c>
      <c r="E59" s="15">
        <v>40</v>
      </c>
      <c r="F59" s="15">
        <v>31</v>
      </c>
      <c r="G59" s="15">
        <f>(E59-F59)*D59</f>
        <v>9</v>
      </c>
      <c r="H59" s="15" t="str">
        <f>TEXT(B59,"dddd")</f>
        <v>Monday</v>
      </c>
      <c r="I59" s="18" t="str">
        <f>"Week " &amp; (INT((B59 - DATE(2026,8,3)) / 7) + 1)</f>
        <v>Week 2</v>
      </c>
    </row>
    <row r="60" spans="2:9" ht="26.25" customHeight="1">
      <c r="B60" s="26">
        <v>46244</v>
      </c>
      <c r="C60" s="93" t="s">
        <v>69</v>
      </c>
      <c r="D60" s="99">
        <v>1</v>
      </c>
      <c r="E60" s="98">
        <v>260</v>
      </c>
      <c r="F60" s="98">
        <v>224</v>
      </c>
      <c r="G60" s="98">
        <f>(E60-F60)*D60</f>
        <v>36</v>
      </c>
      <c r="H60" s="98" t="str">
        <f>TEXT(B60,"dddd")</f>
        <v>Monday</v>
      </c>
      <c r="I60" s="100" t="str">
        <f>"Week " &amp; (INT((B60 - DATE(2026,8,3)) / 7) + 1)</f>
        <v>Week 2</v>
      </c>
    </row>
    <row r="61" spans="2:9" ht="26.25" customHeight="1">
      <c r="B61" s="26">
        <v>46244</v>
      </c>
      <c r="C61" s="95" t="s">
        <v>70</v>
      </c>
      <c r="D61" s="94">
        <v>6</v>
      </c>
      <c r="E61" s="101">
        <v>5</v>
      </c>
      <c r="F61" s="101">
        <v>2.2999999999999998</v>
      </c>
      <c r="G61" s="101">
        <f t="shared" ref="G61:G101" si="6">(E61-F61)*D61</f>
        <v>16.200000000000003</v>
      </c>
      <c r="H61" s="101" t="str">
        <f t="shared" ref="H61:H101" si="7">TEXT(B61,"dddd")</f>
        <v>Monday</v>
      </c>
      <c r="I61" s="19" t="str">
        <f t="shared" ref="I61:I101" si="8">"Week " &amp; (INT((B61 - DATE(2026,8,3)) / 7) + 1)</f>
        <v>Week 2</v>
      </c>
    </row>
    <row r="62" spans="2:9" ht="26.25" customHeight="1">
      <c r="B62" s="26">
        <v>46244</v>
      </c>
      <c r="C62" s="96" t="s">
        <v>32</v>
      </c>
      <c r="D62" s="94">
        <v>3</v>
      </c>
      <c r="E62" s="96">
        <v>100</v>
      </c>
      <c r="F62" s="96">
        <v>89</v>
      </c>
      <c r="G62" s="96">
        <f t="shared" si="6"/>
        <v>33</v>
      </c>
      <c r="H62" s="96" t="str">
        <f t="shared" si="7"/>
        <v>Monday</v>
      </c>
      <c r="I62" s="19" t="str">
        <f t="shared" si="8"/>
        <v>Week 2</v>
      </c>
    </row>
    <row r="63" spans="2:9" ht="26.25" customHeight="1">
      <c r="B63" s="26">
        <v>46244</v>
      </c>
      <c r="C63" s="96" t="s">
        <v>30</v>
      </c>
      <c r="D63" s="94">
        <v>2</v>
      </c>
      <c r="E63" s="96">
        <v>540</v>
      </c>
      <c r="F63" s="96">
        <v>493</v>
      </c>
      <c r="G63" s="96">
        <f t="shared" si="6"/>
        <v>94</v>
      </c>
      <c r="H63" s="96" t="str">
        <f t="shared" si="7"/>
        <v>Monday</v>
      </c>
      <c r="I63" s="19" t="str">
        <f t="shared" si="8"/>
        <v>Week 2</v>
      </c>
    </row>
    <row r="64" spans="2:9" ht="26.25" customHeight="1">
      <c r="B64" s="26">
        <v>46244</v>
      </c>
      <c r="C64" s="96" t="s">
        <v>33</v>
      </c>
      <c r="D64" s="94">
        <v>1</v>
      </c>
      <c r="E64" s="96">
        <v>180</v>
      </c>
      <c r="F64" s="96">
        <v>154</v>
      </c>
      <c r="G64" s="96">
        <f t="shared" si="6"/>
        <v>26</v>
      </c>
      <c r="H64" s="96" t="str">
        <f t="shared" si="7"/>
        <v>Monday</v>
      </c>
      <c r="I64" s="19" t="str">
        <f t="shared" si="8"/>
        <v>Week 2</v>
      </c>
    </row>
    <row r="65" spans="2:9" ht="26.25" customHeight="1">
      <c r="B65" s="26">
        <v>46244</v>
      </c>
      <c r="C65" s="96" t="s">
        <v>71</v>
      </c>
      <c r="D65" s="94">
        <v>1</v>
      </c>
      <c r="E65" s="96">
        <v>60</v>
      </c>
      <c r="F65" s="96">
        <v>41</v>
      </c>
      <c r="G65" s="96">
        <f t="shared" si="6"/>
        <v>19</v>
      </c>
      <c r="H65" s="96" t="str">
        <f t="shared" si="7"/>
        <v>Monday</v>
      </c>
      <c r="I65" s="19" t="str">
        <f t="shared" si="8"/>
        <v>Week 2</v>
      </c>
    </row>
    <row r="66" spans="2:9" ht="26.25" customHeight="1">
      <c r="B66" s="26">
        <v>46245</v>
      </c>
      <c r="C66" s="96" t="s">
        <v>21</v>
      </c>
      <c r="D66" s="94">
        <v>2</v>
      </c>
      <c r="E66" s="96">
        <v>275</v>
      </c>
      <c r="F66" s="96">
        <v>255</v>
      </c>
      <c r="G66" s="96">
        <f t="shared" si="6"/>
        <v>40</v>
      </c>
      <c r="H66" s="96" t="str">
        <f t="shared" si="7"/>
        <v>Tuesday</v>
      </c>
      <c r="I66" s="19" t="str">
        <f t="shared" si="8"/>
        <v>Week 2</v>
      </c>
    </row>
    <row r="67" spans="2:9" ht="26.25" customHeight="1">
      <c r="B67" s="26">
        <v>46245</v>
      </c>
      <c r="C67" s="96" t="s">
        <v>49</v>
      </c>
      <c r="D67" s="94">
        <v>6</v>
      </c>
      <c r="E67" s="96">
        <v>30</v>
      </c>
      <c r="F67" s="96">
        <v>23.5</v>
      </c>
      <c r="G67" s="96">
        <f t="shared" si="6"/>
        <v>39</v>
      </c>
      <c r="H67" s="96" t="str">
        <f t="shared" si="7"/>
        <v>Tuesday</v>
      </c>
      <c r="I67" s="19" t="str">
        <f t="shared" si="8"/>
        <v>Week 2</v>
      </c>
    </row>
    <row r="68" spans="2:9" ht="26.25" customHeight="1">
      <c r="B68" s="26">
        <v>46245</v>
      </c>
      <c r="C68" s="96" t="s">
        <v>50</v>
      </c>
      <c r="D68" s="94">
        <v>4</v>
      </c>
      <c r="E68" s="96">
        <v>25</v>
      </c>
      <c r="F68" s="96">
        <v>22</v>
      </c>
      <c r="G68" s="96">
        <f t="shared" si="6"/>
        <v>12</v>
      </c>
      <c r="H68" s="96" t="str">
        <f t="shared" si="7"/>
        <v>Tuesday</v>
      </c>
      <c r="I68" s="19" t="str">
        <f t="shared" si="8"/>
        <v>Week 2</v>
      </c>
    </row>
    <row r="69" spans="2:9" ht="26.25" customHeight="1">
      <c r="B69" s="26">
        <v>46245</v>
      </c>
      <c r="C69" s="96" t="s">
        <v>23</v>
      </c>
      <c r="D69" s="94">
        <v>2</v>
      </c>
      <c r="E69" s="96">
        <v>240</v>
      </c>
      <c r="F69" s="96">
        <v>197</v>
      </c>
      <c r="G69" s="96">
        <f t="shared" si="6"/>
        <v>86</v>
      </c>
      <c r="H69" s="96" t="str">
        <f t="shared" si="7"/>
        <v>Tuesday</v>
      </c>
      <c r="I69" s="19" t="str">
        <f t="shared" si="8"/>
        <v>Week 2</v>
      </c>
    </row>
    <row r="70" spans="2:9" ht="26.25" customHeight="1">
      <c r="B70" s="26">
        <v>46245</v>
      </c>
      <c r="C70" s="96" t="s">
        <v>72</v>
      </c>
      <c r="D70" s="94">
        <v>2</v>
      </c>
      <c r="E70" s="96">
        <v>170</v>
      </c>
      <c r="F70" s="96">
        <v>152.6</v>
      </c>
      <c r="G70" s="96">
        <f t="shared" si="6"/>
        <v>34.800000000000011</v>
      </c>
      <c r="H70" s="96" t="str">
        <f t="shared" si="7"/>
        <v>Tuesday</v>
      </c>
      <c r="I70" s="19" t="str">
        <f t="shared" si="8"/>
        <v>Week 2</v>
      </c>
    </row>
    <row r="71" spans="2:9" ht="26.25" customHeight="1">
      <c r="B71" s="26">
        <v>46245</v>
      </c>
      <c r="C71" s="96" t="s">
        <v>73</v>
      </c>
      <c r="D71" s="94">
        <v>8</v>
      </c>
      <c r="E71" s="96">
        <v>15</v>
      </c>
      <c r="F71" s="96">
        <v>12.5</v>
      </c>
      <c r="G71" s="96">
        <f t="shared" si="6"/>
        <v>20</v>
      </c>
      <c r="H71" s="96" t="str">
        <f t="shared" si="7"/>
        <v>Tuesday</v>
      </c>
      <c r="I71" s="19" t="str">
        <f t="shared" si="8"/>
        <v>Week 2</v>
      </c>
    </row>
    <row r="72" spans="2:9" ht="26.25" customHeight="1">
      <c r="B72" s="26">
        <v>46245</v>
      </c>
      <c r="C72" s="96" t="s">
        <v>74</v>
      </c>
      <c r="D72" s="94">
        <v>2</v>
      </c>
      <c r="E72" s="96">
        <v>60</v>
      </c>
      <c r="F72" s="96">
        <v>50</v>
      </c>
      <c r="G72" s="96">
        <f t="shared" si="6"/>
        <v>20</v>
      </c>
      <c r="H72" s="96" t="str">
        <f t="shared" si="7"/>
        <v>Tuesday</v>
      </c>
      <c r="I72" s="19" t="str">
        <f t="shared" si="8"/>
        <v>Week 2</v>
      </c>
    </row>
    <row r="73" spans="2:9" ht="26.25" customHeight="1">
      <c r="B73" s="26">
        <v>46245</v>
      </c>
      <c r="C73" s="96" t="s">
        <v>75</v>
      </c>
      <c r="D73" s="94">
        <v>1</v>
      </c>
      <c r="E73" s="96">
        <v>220</v>
      </c>
      <c r="F73" s="96">
        <v>180</v>
      </c>
      <c r="G73" s="96">
        <f t="shared" si="6"/>
        <v>40</v>
      </c>
      <c r="H73" s="96" t="str">
        <f t="shared" si="7"/>
        <v>Tuesday</v>
      </c>
      <c r="I73" s="19" t="str">
        <f t="shared" si="8"/>
        <v>Week 2</v>
      </c>
    </row>
    <row r="74" spans="2:9" ht="26.25" customHeight="1">
      <c r="B74" s="26">
        <v>46245</v>
      </c>
      <c r="C74" s="96" t="s">
        <v>76</v>
      </c>
      <c r="D74" s="94">
        <v>15</v>
      </c>
      <c r="E74" s="96">
        <v>4</v>
      </c>
      <c r="F74" s="96">
        <v>1.6</v>
      </c>
      <c r="G74" s="96">
        <f t="shared" si="6"/>
        <v>36</v>
      </c>
      <c r="H74" s="96" t="str">
        <f t="shared" si="7"/>
        <v>Tuesday</v>
      </c>
      <c r="I74" s="19" t="str">
        <f t="shared" si="8"/>
        <v>Week 2</v>
      </c>
    </row>
    <row r="75" spans="2:9" ht="26.25" customHeight="1">
      <c r="B75" s="26">
        <v>46246</v>
      </c>
      <c r="C75" s="96" t="s">
        <v>77</v>
      </c>
      <c r="D75" s="94">
        <v>3</v>
      </c>
      <c r="E75" s="96">
        <v>320</v>
      </c>
      <c r="F75" s="96">
        <v>295</v>
      </c>
      <c r="G75" s="96">
        <f t="shared" si="6"/>
        <v>75</v>
      </c>
      <c r="H75" s="96" t="str">
        <f t="shared" si="7"/>
        <v>Wednesday</v>
      </c>
      <c r="I75" s="19" t="str">
        <f t="shared" si="8"/>
        <v>Week 2</v>
      </c>
    </row>
    <row r="76" spans="2:9" ht="26.25" customHeight="1">
      <c r="B76" s="26">
        <v>46246</v>
      </c>
      <c r="C76" s="96" t="s">
        <v>78</v>
      </c>
      <c r="D76" s="94">
        <v>1</v>
      </c>
      <c r="E76" s="96">
        <v>400</v>
      </c>
      <c r="F76" s="96">
        <v>330</v>
      </c>
      <c r="G76" s="96">
        <f t="shared" si="6"/>
        <v>70</v>
      </c>
      <c r="H76" s="96" t="str">
        <f t="shared" si="7"/>
        <v>Wednesday</v>
      </c>
      <c r="I76" s="19" t="str">
        <f t="shared" si="8"/>
        <v>Week 2</v>
      </c>
    </row>
    <row r="77" spans="2:9" ht="26.25" customHeight="1">
      <c r="B77" s="26">
        <v>46246</v>
      </c>
      <c r="C77" s="96" t="s">
        <v>79</v>
      </c>
      <c r="D77" s="94">
        <v>3</v>
      </c>
      <c r="E77" s="96">
        <v>800</v>
      </c>
      <c r="F77" s="96">
        <v>710</v>
      </c>
      <c r="G77" s="96">
        <f t="shared" si="6"/>
        <v>270</v>
      </c>
      <c r="H77" s="96" t="str">
        <f t="shared" si="7"/>
        <v>Wednesday</v>
      </c>
      <c r="I77" s="19" t="str">
        <f t="shared" si="8"/>
        <v>Week 2</v>
      </c>
    </row>
    <row r="78" spans="2:9" ht="26.25" customHeight="1">
      <c r="B78" s="26">
        <v>46246</v>
      </c>
      <c r="C78" s="96" t="s">
        <v>80</v>
      </c>
      <c r="D78" s="94">
        <v>12</v>
      </c>
      <c r="E78" s="96">
        <v>10</v>
      </c>
      <c r="F78" s="96">
        <v>9.1</v>
      </c>
      <c r="G78" s="96">
        <f t="shared" si="6"/>
        <v>10.800000000000004</v>
      </c>
      <c r="H78" s="96" t="str">
        <f t="shared" si="7"/>
        <v>Wednesday</v>
      </c>
      <c r="I78" s="19" t="str">
        <f t="shared" si="8"/>
        <v>Week 2</v>
      </c>
    </row>
    <row r="79" spans="2:9" ht="26.25" customHeight="1">
      <c r="B79" s="26">
        <v>46246</v>
      </c>
      <c r="C79" s="96" t="s">
        <v>81</v>
      </c>
      <c r="D79" s="94">
        <v>10</v>
      </c>
      <c r="E79" s="96">
        <v>10</v>
      </c>
      <c r="F79" s="96">
        <v>7</v>
      </c>
      <c r="G79" s="96">
        <f t="shared" si="6"/>
        <v>30</v>
      </c>
      <c r="H79" s="96" t="str">
        <f t="shared" si="7"/>
        <v>Wednesday</v>
      </c>
      <c r="I79" s="19" t="str">
        <f t="shared" si="8"/>
        <v>Week 2</v>
      </c>
    </row>
    <row r="80" spans="2:9" ht="26.25" customHeight="1">
      <c r="B80" s="26">
        <v>46246</v>
      </c>
      <c r="C80" s="96" t="s">
        <v>82</v>
      </c>
      <c r="D80" s="94">
        <v>2</v>
      </c>
      <c r="E80" s="96">
        <v>140</v>
      </c>
      <c r="F80" s="96">
        <v>105</v>
      </c>
      <c r="G80" s="96">
        <f t="shared" si="6"/>
        <v>70</v>
      </c>
      <c r="H80" s="96" t="str">
        <f t="shared" si="7"/>
        <v>Wednesday</v>
      </c>
      <c r="I80" s="19" t="str">
        <f t="shared" si="8"/>
        <v>Week 2</v>
      </c>
    </row>
    <row r="81" spans="2:9" ht="26.25" customHeight="1">
      <c r="B81" s="26">
        <v>46246</v>
      </c>
      <c r="C81" s="96" t="s">
        <v>83</v>
      </c>
      <c r="D81" s="94">
        <v>2</v>
      </c>
      <c r="E81" s="96">
        <v>260</v>
      </c>
      <c r="F81" s="96">
        <v>219</v>
      </c>
      <c r="G81" s="96">
        <f t="shared" si="6"/>
        <v>82</v>
      </c>
      <c r="H81" s="96" t="str">
        <f t="shared" si="7"/>
        <v>Wednesday</v>
      </c>
      <c r="I81" s="19" t="str">
        <f t="shared" si="8"/>
        <v>Week 2</v>
      </c>
    </row>
    <row r="82" spans="2:9" ht="26.25" customHeight="1">
      <c r="B82" s="26">
        <v>46247</v>
      </c>
      <c r="C82" s="96" t="s">
        <v>72</v>
      </c>
      <c r="D82" s="94">
        <v>8</v>
      </c>
      <c r="E82" s="96">
        <v>168</v>
      </c>
      <c r="F82" s="96">
        <v>152.6</v>
      </c>
      <c r="G82" s="96">
        <f t="shared" si="6"/>
        <v>123.20000000000005</v>
      </c>
      <c r="H82" s="96" t="str">
        <f t="shared" si="7"/>
        <v>Thursday</v>
      </c>
      <c r="I82" s="19" t="str">
        <f t="shared" si="8"/>
        <v>Week 2</v>
      </c>
    </row>
    <row r="83" spans="2:9" ht="26.25" customHeight="1">
      <c r="B83" s="26">
        <v>46247</v>
      </c>
      <c r="C83" s="96" t="s">
        <v>73</v>
      </c>
      <c r="D83" s="94">
        <v>15</v>
      </c>
      <c r="E83" s="96">
        <v>14.5</v>
      </c>
      <c r="F83" s="96">
        <v>12.5</v>
      </c>
      <c r="G83" s="96">
        <f t="shared" si="6"/>
        <v>30</v>
      </c>
      <c r="H83" s="96" t="str">
        <f t="shared" si="7"/>
        <v>Thursday</v>
      </c>
      <c r="I83" s="19" t="str">
        <f t="shared" si="8"/>
        <v>Week 2</v>
      </c>
    </row>
    <row r="84" spans="2:9" ht="26.25" customHeight="1">
      <c r="B84" s="26">
        <v>46247</v>
      </c>
      <c r="C84" s="96" t="s">
        <v>84</v>
      </c>
      <c r="D84" s="94">
        <v>4</v>
      </c>
      <c r="E84" s="96">
        <v>60</v>
      </c>
      <c r="F84" s="96">
        <v>52</v>
      </c>
      <c r="G84" s="96">
        <f t="shared" si="6"/>
        <v>32</v>
      </c>
      <c r="H84" s="96" t="str">
        <f t="shared" si="7"/>
        <v>Thursday</v>
      </c>
      <c r="I84" s="19" t="str">
        <f t="shared" si="8"/>
        <v>Week 2</v>
      </c>
    </row>
    <row r="85" spans="2:9" ht="26.25" customHeight="1">
      <c r="B85" s="26">
        <v>46247</v>
      </c>
      <c r="C85" s="96" t="s">
        <v>85</v>
      </c>
      <c r="D85" s="94">
        <v>2</v>
      </c>
      <c r="E85" s="96">
        <v>20</v>
      </c>
      <c r="F85" s="96">
        <v>13</v>
      </c>
      <c r="G85" s="96">
        <f t="shared" si="6"/>
        <v>14</v>
      </c>
      <c r="H85" s="96" t="str">
        <f t="shared" si="7"/>
        <v>Thursday</v>
      </c>
      <c r="I85" s="19" t="str">
        <f t="shared" si="8"/>
        <v>Week 2</v>
      </c>
    </row>
    <row r="86" spans="2:9" ht="26.25" customHeight="1">
      <c r="B86" s="26">
        <v>46247</v>
      </c>
      <c r="C86" s="96" t="s">
        <v>86</v>
      </c>
      <c r="D86" s="94">
        <v>2</v>
      </c>
      <c r="E86" s="96">
        <v>40</v>
      </c>
      <c r="F86" s="96">
        <v>31.5</v>
      </c>
      <c r="G86" s="96">
        <f t="shared" si="6"/>
        <v>17</v>
      </c>
      <c r="H86" s="96" t="str">
        <f t="shared" si="7"/>
        <v>Thursday</v>
      </c>
      <c r="I86" s="19" t="str">
        <f t="shared" si="8"/>
        <v>Week 2</v>
      </c>
    </row>
    <row r="87" spans="2:9" ht="26.25" customHeight="1">
      <c r="B87" s="26">
        <v>46247</v>
      </c>
      <c r="C87" s="96" t="s">
        <v>87</v>
      </c>
      <c r="D87" s="94">
        <v>2</v>
      </c>
      <c r="E87" s="96">
        <v>90</v>
      </c>
      <c r="F87" s="96">
        <v>75</v>
      </c>
      <c r="G87" s="96">
        <f t="shared" si="6"/>
        <v>30</v>
      </c>
      <c r="H87" s="96" t="str">
        <f t="shared" si="7"/>
        <v>Thursday</v>
      </c>
      <c r="I87" s="19" t="str">
        <f t="shared" si="8"/>
        <v>Week 2</v>
      </c>
    </row>
    <row r="88" spans="2:9" ht="26.25" customHeight="1">
      <c r="B88" s="26">
        <v>46247</v>
      </c>
      <c r="C88" s="96" t="s">
        <v>88</v>
      </c>
      <c r="D88" s="94">
        <v>1</v>
      </c>
      <c r="E88" s="96">
        <v>110</v>
      </c>
      <c r="F88" s="96">
        <v>92</v>
      </c>
      <c r="G88" s="96">
        <f t="shared" si="6"/>
        <v>18</v>
      </c>
      <c r="H88" s="96" t="str">
        <f t="shared" si="7"/>
        <v>Thursday</v>
      </c>
      <c r="I88" s="19" t="str">
        <f t="shared" si="8"/>
        <v>Week 2</v>
      </c>
    </row>
    <row r="89" spans="2:9" ht="26.25" customHeight="1">
      <c r="B89" s="26">
        <v>46247</v>
      </c>
      <c r="C89" s="96" t="s">
        <v>23</v>
      </c>
      <c r="D89" s="94">
        <v>1</v>
      </c>
      <c r="E89" s="96">
        <v>235</v>
      </c>
      <c r="F89" s="96">
        <v>197</v>
      </c>
      <c r="G89" s="96">
        <f t="shared" si="6"/>
        <v>38</v>
      </c>
      <c r="H89" s="96" t="str">
        <f t="shared" si="7"/>
        <v>Thursday</v>
      </c>
      <c r="I89" s="19" t="str">
        <f t="shared" si="8"/>
        <v>Week 2</v>
      </c>
    </row>
    <row r="90" spans="2:9" ht="26.25" customHeight="1">
      <c r="B90" s="26">
        <v>46247</v>
      </c>
      <c r="C90" s="96" t="s">
        <v>75</v>
      </c>
      <c r="D90" s="94">
        <v>1</v>
      </c>
      <c r="E90" s="96">
        <v>220</v>
      </c>
      <c r="F90" s="96">
        <v>180</v>
      </c>
      <c r="G90" s="96">
        <f t="shared" si="6"/>
        <v>40</v>
      </c>
      <c r="H90" s="96" t="str">
        <f t="shared" si="7"/>
        <v>Thursday</v>
      </c>
      <c r="I90" s="19" t="str">
        <f t="shared" si="8"/>
        <v>Week 2</v>
      </c>
    </row>
    <row r="91" spans="2:9" ht="26.25" customHeight="1">
      <c r="B91" s="26">
        <v>46247</v>
      </c>
      <c r="C91" s="96" t="s">
        <v>81</v>
      </c>
      <c r="D91" s="94">
        <v>10</v>
      </c>
      <c r="E91" s="96">
        <v>10</v>
      </c>
      <c r="F91" s="96">
        <v>7</v>
      </c>
      <c r="G91" s="96">
        <f t="shared" si="6"/>
        <v>30</v>
      </c>
      <c r="H91" s="96" t="str">
        <f t="shared" si="7"/>
        <v>Thursday</v>
      </c>
      <c r="I91" s="19" t="str">
        <f t="shared" si="8"/>
        <v>Week 2</v>
      </c>
    </row>
    <row r="92" spans="2:9" ht="26.25" customHeight="1">
      <c r="B92" s="26">
        <v>46247</v>
      </c>
      <c r="C92" s="96" t="s">
        <v>80</v>
      </c>
      <c r="D92" s="94">
        <v>4</v>
      </c>
      <c r="E92" s="96">
        <v>10</v>
      </c>
      <c r="F92" s="96">
        <v>9.1999999999999993</v>
      </c>
      <c r="G92" s="96">
        <f t="shared" si="6"/>
        <v>3.2000000000000028</v>
      </c>
      <c r="H92" s="96" t="str">
        <f t="shared" si="7"/>
        <v>Thursday</v>
      </c>
      <c r="I92" s="19" t="str">
        <f t="shared" si="8"/>
        <v>Week 2</v>
      </c>
    </row>
    <row r="93" spans="2:9" ht="26.25" customHeight="1">
      <c r="B93" s="26">
        <v>46247</v>
      </c>
      <c r="C93" s="96" t="s">
        <v>76</v>
      </c>
      <c r="D93" s="94">
        <v>24</v>
      </c>
      <c r="E93" s="96">
        <v>3.5</v>
      </c>
      <c r="F93" s="96">
        <v>1.6</v>
      </c>
      <c r="G93" s="96">
        <f t="shared" si="6"/>
        <v>45.599999999999994</v>
      </c>
      <c r="H93" s="96" t="str">
        <f t="shared" si="7"/>
        <v>Thursday</v>
      </c>
      <c r="I93" s="19" t="str">
        <f t="shared" si="8"/>
        <v>Week 2</v>
      </c>
    </row>
    <row r="94" spans="2:9" ht="26.25" customHeight="1">
      <c r="B94" s="26">
        <v>46248</v>
      </c>
      <c r="C94" s="96" t="s">
        <v>37</v>
      </c>
      <c r="D94" s="94">
        <v>2</v>
      </c>
      <c r="E94" s="96">
        <v>325</v>
      </c>
      <c r="F94" s="96">
        <v>297</v>
      </c>
      <c r="G94" s="96">
        <f t="shared" si="6"/>
        <v>56</v>
      </c>
      <c r="H94" s="96" t="str">
        <f t="shared" si="7"/>
        <v>Friday</v>
      </c>
      <c r="I94" s="19" t="str">
        <f t="shared" si="8"/>
        <v>Week 2</v>
      </c>
    </row>
    <row r="95" spans="2:9" ht="26.25" customHeight="1">
      <c r="B95" s="26">
        <v>46248</v>
      </c>
      <c r="C95" s="96" t="s">
        <v>39</v>
      </c>
      <c r="D95" s="94">
        <v>6</v>
      </c>
      <c r="E95" s="96">
        <v>60</v>
      </c>
      <c r="F95" s="96">
        <v>49</v>
      </c>
      <c r="G95" s="96">
        <f t="shared" si="6"/>
        <v>66</v>
      </c>
      <c r="H95" s="96" t="str">
        <f t="shared" si="7"/>
        <v>Friday</v>
      </c>
      <c r="I95" s="19" t="str">
        <f t="shared" si="8"/>
        <v>Week 2</v>
      </c>
    </row>
    <row r="96" spans="2:9" ht="26.25" customHeight="1">
      <c r="B96" s="26">
        <v>46248</v>
      </c>
      <c r="C96" s="96" t="s">
        <v>89</v>
      </c>
      <c r="D96" s="94">
        <v>2</v>
      </c>
      <c r="E96" s="96">
        <v>160</v>
      </c>
      <c r="F96" s="96">
        <v>143</v>
      </c>
      <c r="G96" s="96">
        <f t="shared" si="6"/>
        <v>34</v>
      </c>
      <c r="H96" s="96" t="str">
        <f t="shared" si="7"/>
        <v>Friday</v>
      </c>
      <c r="I96" s="19" t="str">
        <f t="shared" si="8"/>
        <v>Week 2</v>
      </c>
    </row>
    <row r="97" spans="2:9" ht="26.25" customHeight="1">
      <c r="B97" s="26">
        <v>46248</v>
      </c>
      <c r="C97" s="96" t="s">
        <v>90</v>
      </c>
      <c r="D97" s="94">
        <v>2</v>
      </c>
      <c r="E97" s="96">
        <v>60</v>
      </c>
      <c r="F97" s="96">
        <v>47.5</v>
      </c>
      <c r="G97" s="96">
        <f t="shared" si="6"/>
        <v>25</v>
      </c>
      <c r="H97" s="96" t="str">
        <f t="shared" si="7"/>
        <v>Friday</v>
      </c>
      <c r="I97" s="19" t="str">
        <f t="shared" si="8"/>
        <v>Week 2</v>
      </c>
    </row>
    <row r="98" spans="2:9" ht="26.25" customHeight="1">
      <c r="B98" s="26">
        <v>46248</v>
      </c>
      <c r="C98" s="96" t="s">
        <v>91</v>
      </c>
      <c r="D98" s="94">
        <v>2</v>
      </c>
      <c r="E98" s="96">
        <v>40</v>
      </c>
      <c r="F98" s="96">
        <v>22</v>
      </c>
      <c r="G98" s="96">
        <f t="shared" si="6"/>
        <v>36</v>
      </c>
      <c r="H98" s="96" t="str">
        <f t="shared" si="7"/>
        <v>Friday</v>
      </c>
      <c r="I98" s="19" t="str">
        <f t="shared" si="8"/>
        <v>Week 2</v>
      </c>
    </row>
    <row r="99" spans="2:9" ht="26.25" customHeight="1">
      <c r="B99" s="26">
        <v>46248</v>
      </c>
      <c r="C99" s="96" t="s">
        <v>92</v>
      </c>
      <c r="D99" s="94">
        <v>2</v>
      </c>
      <c r="E99" s="96">
        <v>130</v>
      </c>
      <c r="F99" s="96">
        <v>93</v>
      </c>
      <c r="G99" s="96">
        <f t="shared" si="6"/>
        <v>74</v>
      </c>
      <c r="H99" s="96" t="str">
        <f t="shared" si="7"/>
        <v>Friday</v>
      </c>
      <c r="I99" s="19" t="str">
        <f t="shared" si="8"/>
        <v>Week 2</v>
      </c>
    </row>
    <row r="100" spans="2:9" ht="26.25" customHeight="1">
      <c r="B100" s="26">
        <v>46248</v>
      </c>
      <c r="C100" s="96" t="s">
        <v>55</v>
      </c>
      <c r="D100" s="94">
        <v>12</v>
      </c>
      <c r="E100" s="96">
        <v>15</v>
      </c>
      <c r="F100" s="96">
        <v>9.6</v>
      </c>
      <c r="G100" s="96">
        <f t="shared" si="6"/>
        <v>64.800000000000011</v>
      </c>
      <c r="H100" s="96" t="str">
        <f t="shared" si="7"/>
        <v>Friday</v>
      </c>
      <c r="I100" s="19" t="str">
        <f t="shared" si="8"/>
        <v>Week 2</v>
      </c>
    </row>
    <row r="101" spans="2:9" ht="26.25" customHeight="1">
      <c r="B101" s="26">
        <v>46248</v>
      </c>
      <c r="C101" s="97" t="s">
        <v>54</v>
      </c>
      <c r="D101" s="94">
        <v>7</v>
      </c>
      <c r="E101" s="97">
        <v>50</v>
      </c>
      <c r="F101" s="97">
        <v>36.5</v>
      </c>
      <c r="G101" s="97">
        <f t="shared" si="6"/>
        <v>94.5</v>
      </c>
      <c r="H101" s="97" t="str">
        <f t="shared" si="7"/>
        <v>Friday</v>
      </c>
      <c r="I101" s="19" t="str">
        <f t="shared" si="8"/>
        <v>Week 2</v>
      </c>
    </row>
    <row r="102" spans="2:9" ht="26.25" customHeight="1">
      <c r="B102" s="26">
        <v>46249</v>
      </c>
      <c r="C102" s="94" t="s">
        <v>93</v>
      </c>
      <c r="D102" s="99">
        <v>1</v>
      </c>
      <c r="E102" s="98">
        <v>1100</v>
      </c>
      <c r="F102" s="98">
        <v>980</v>
      </c>
      <c r="G102" s="98">
        <f>(E102-F102)*D102</f>
        <v>120</v>
      </c>
      <c r="H102" s="98" t="str">
        <f>TEXT(B102,"dddd")</f>
        <v>Saturday</v>
      </c>
      <c r="I102" s="28" t="str">
        <f>"Week " &amp; (INT((B102 - DATE(2026,8,3)) / 7) + 1)</f>
        <v>Week 2</v>
      </c>
    </row>
    <row r="103" spans="2:9" ht="26.25" customHeight="1">
      <c r="B103" s="26">
        <v>46249</v>
      </c>
      <c r="C103" s="94" t="s">
        <v>30</v>
      </c>
      <c r="D103" s="94">
        <v>4</v>
      </c>
      <c r="E103" s="15">
        <v>550</v>
      </c>
      <c r="F103" s="15">
        <v>523.5</v>
      </c>
      <c r="G103" s="15">
        <f>(E103-F103)*D103</f>
        <v>106</v>
      </c>
      <c r="H103" s="15" t="str">
        <f>TEXT(B103,"dddd")</f>
        <v>Saturday</v>
      </c>
      <c r="I103" s="18" t="str">
        <f>"Week " &amp; (INT((B103 - DATE(2026,8,3)) / 7) + 1)</f>
        <v>Week 2</v>
      </c>
    </row>
    <row r="104" spans="2:9" ht="26.25" customHeight="1">
      <c r="B104" s="26">
        <v>46249</v>
      </c>
      <c r="C104" s="102" t="s">
        <v>94</v>
      </c>
      <c r="D104" s="102">
        <v>1</v>
      </c>
      <c r="E104" s="98">
        <v>380</v>
      </c>
      <c r="F104" s="98">
        <v>335</v>
      </c>
      <c r="G104" s="98">
        <f>(E104-F104)*D104</f>
        <v>45</v>
      </c>
      <c r="H104" s="98" t="str">
        <f>TEXT(B104,"dddd")</f>
        <v>Saturday</v>
      </c>
      <c r="I104" s="98" t="str">
        <f>"Week " &amp; (INT((B104 - DATE(2026,8,3)) / 7) + 1)</f>
        <v>Week 2</v>
      </c>
    </row>
    <row r="105" spans="2:9" ht="26.25" customHeight="1">
      <c r="B105" s="26">
        <v>46249</v>
      </c>
      <c r="C105" s="94" t="s">
        <v>95</v>
      </c>
      <c r="D105" s="94">
        <v>1</v>
      </c>
      <c r="E105" s="15">
        <v>50</v>
      </c>
      <c r="F105" s="15">
        <v>22</v>
      </c>
      <c r="G105" s="15">
        <f>(E105-F105)*D105</f>
        <v>28</v>
      </c>
      <c r="H105" s="15" t="str">
        <f>TEXT(B105,"dddd")</f>
        <v>Saturday</v>
      </c>
      <c r="I105" s="18" t="str">
        <f>"Week " &amp; (INT((B105 - DATE(2026,8,3)) / 7) + 1)</f>
        <v>Week 2</v>
      </c>
    </row>
    <row r="106" spans="2:9" ht="26.25" customHeight="1">
      <c r="B106" s="26">
        <v>46249</v>
      </c>
      <c r="C106" s="102" t="s">
        <v>96</v>
      </c>
      <c r="D106" s="102">
        <v>1</v>
      </c>
      <c r="E106" s="98">
        <v>60</v>
      </c>
      <c r="F106" s="98">
        <v>46</v>
      </c>
      <c r="G106" s="98">
        <f>(E106-F106)*D106</f>
        <v>14</v>
      </c>
      <c r="H106" s="98" t="str">
        <f>TEXT(B106,"dddd")</f>
        <v>Saturday</v>
      </c>
      <c r="I106" s="98" t="str">
        <f>"Week " &amp; (INT((B106 - DATE(2026,8,3)) / 7) + 1)</f>
        <v>Week 2</v>
      </c>
    </row>
    <row r="107" spans="2:9" ht="26.25" customHeight="1">
      <c r="B107" s="26">
        <v>46249</v>
      </c>
      <c r="C107" s="94" t="s">
        <v>28</v>
      </c>
      <c r="D107" s="94">
        <v>5</v>
      </c>
      <c r="E107" s="15">
        <v>60</v>
      </c>
      <c r="F107" s="15">
        <v>42</v>
      </c>
      <c r="G107" s="15">
        <f>(E107-F107)*D107</f>
        <v>90</v>
      </c>
      <c r="H107" s="15" t="str">
        <f>TEXT(B107,"dddd")</f>
        <v>Saturday</v>
      </c>
      <c r="I107" s="18" t="str">
        <f>"Week " &amp; (INT((B107 - DATE(2026,8,3)) / 7) + 1)</f>
        <v>Week 2</v>
      </c>
    </row>
    <row r="108" spans="2:9" ht="26.25" customHeight="1">
      <c r="B108" s="26">
        <v>46249</v>
      </c>
      <c r="C108" s="102" t="s">
        <v>29</v>
      </c>
      <c r="D108" s="102">
        <v>1</v>
      </c>
      <c r="E108" s="98">
        <v>60</v>
      </c>
      <c r="F108" s="98">
        <v>47.5</v>
      </c>
      <c r="G108" s="98">
        <f>(E108-F108)*D108</f>
        <v>12.5</v>
      </c>
      <c r="H108" s="98" t="str">
        <f>TEXT(B108,"dddd")</f>
        <v>Saturday</v>
      </c>
      <c r="I108" s="100" t="str">
        <f>"Week " &amp; (INT((B108 - DATE(2026,8,3)) / 7) + 1)</f>
        <v>Week 2</v>
      </c>
    </row>
    <row r="109" spans="2:9" ht="26.25" customHeight="1">
      <c r="B109" s="26">
        <v>46249</v>
      </c>
      <c r="C109" s="102" t="s">
        <v>97</v>
      </c>
      <c r="D109" s="102">
        <v>1</v>
      </c>
      <c r="E109" s="93">
        <v>140</v>
      </c>
      <c r="F109" s="93">
        <v>98</v>
      </c>
      <c r="G109" s="93">
        <f>(E109-F109)*D109</f>
        <v>42</v>
      </c>
      <c r="H109" s="93" t="str">
        <f>TEXT(B109,"dddd")</f>
        <v>Saturday</v>
      </c>
      <c r="I109" s="100" t="str">
        <f>"Week " &amp; (INT((B109 - DATE(2026,8,3)) / 7) + 1)</f>
        <v>Week 2</v>
      </c>
    </row>
    <row r="110" spans="2:9" ht="26.25" customHeight="1">
      <c r="B110" s="26">
        <v>46250</v>
      </c>
      <c r="C110" s="94" t="s">
        <v>36</v>
      </c>
      <c r="D110" s="99">
        <v>1</v>
      </c>
      <c r="E110" s="98">
        <v>450</v>
      </c>
      <c r="F110" s="98">
        <v>376</v>
      </c>
      <c r="G110" s="98">
        <f>(E110-F110)*D110</f>
        <v>74</v>
      </c>
      <c r="H110" s="98" t="str">
        <f>TEXT(B110,"dddd")</f>
        <v>Sunday</v>
      </c>
      <c r="I110" s="28" t="str">
        <f>"Week " &amp; (INT((B110 - DATE(2026,8,3)) / 7) + 1)</f>
        <v>Week 2</v>
      </c>
    </row>
    <row r="111" spans="2:9" ht="26.25" customHeight="1">
      <c r="B111" s="26">
        <v>46250</v>
      </c>
      <c r="C111" s="94" t="s">
        <v>21</v>
      </c>
      <c r="D111" s="99">
        <v>5</v>
      </c>
      <c r="E111" s="98">
        <v>280</v>
      </c>
      <c r="F111" s="98">
        <v>255</v>
      </c>
      <c r="G111" s="98">
        <f>(E111-F111)*D111</f>
        <v>125</v>
      </c>
      <c r="H111" s="98" t="str">
        <f>TEXT(B111,"dddd")</f>
        <v>Sunday</v>
      </c>
      <c r="I111" s="100" t="str">
        <f>"Week " &amp; (INT((B111 - DATE(2026,8,3)) / 7) + 1)</f>
        <v>Week 2</v>
      </c>
    </row>
    <row r="112" spans="2:9" ht="26.25" customHeight="1">
      <c r="B112" s="26">
        <v>46250</v>
      </c>
      <c r="C112" s="94" t="s">
        <v>87</v>
      </c>
      <c r="D112" s="99">
        <v>1</v>
      </c>
      <c r="E112" s="98">
        <v>120</v>
      </c>
      <c r="F112" s="98">
        <v>88</v>
      </c>
      <c r="G112" s="98">
        <f>(E112-F112)*D112</f>
        <v>32</v>
      </c>
      <c r="H112" s="98" t="str">
        <f>TEXT(B112,"dddd")</f>
        <v>Sunday</v>
      </c>
      <c r="I112" s="100" t="str">
        <f>"Week " &amp; (INT((B112 - DATE(2026,8,3)) / 7) + 1)</f>
        <v>Week 2</v>
      </c>
    </row>
    <row r="113" spans="2:9" ht="26.25" customHeight="1">
      <c r="B113" s="26">
        <v>46250</v>
      </c>
      <c r="C113" s="94" t="s">
        <v>23</v>
      </c>
      <c r="D113" s="99">
        <v>1</v>
      </c>
      <c r="E113" s="98">
        <v>240</v>
      </c>
      <c r="F113" s="98">
        <v>215</v>
      </c>
      <c r="G113" s="98">
        <f>(E113-F113)*D113</f>
        <v>25</v>
      </c>
      <c r="H113" s="98" t="str">
        <f>TEXT(B113,"dddd")</f>
        <v>Sunday</v>
      </c>
      <c r="I113" s="100" t="str">
        <f>"Week " &amp; (INT((B113 - DATE(2026,8,3)) / 7) + 1)</f>
        <v>Week 2</v>
      </c>
    </row>
    <row r="114" spans="2:9" ht="26.25" customHeight="1">
      <c r="B114" s="26">
        <v>46250</v>
      </c>
      <c r="C114" s="94" t="s">
        <v>98</v>
      </c>
      <c r="D114" s="99">
        <v>2</v>
      </c>
      <c r="E114" s="98">
        <v>45</v>
      </c>
      <c r="F114" s="98">
        <v>36.9</v>
      </c>
      <c r="G114" s="98">
        <f>(E114-F114)*D114</f>
        <v>16.200000000000003</v>
      </c>
      <c r="H114" s="98" t="str">
        <f>TEXT(B114,"dddd")</f>
        <v>Sunday</v>
      </c>
      <c r="I114" s="100" t="str">
        <f>"Week " &amp; (INT((B114 - DATE(2026,8,3)) / 7) + 1)</f>
        <v>Week 2</v>
      </c>
    </row>
    <row r="115" spans="2:9" ht="26.25" customHeight="1">
      <c r="B115" s="26">
        <v>46250</v>
      </c>
      <c r="C115" s="94" t="s">
        <v>96</v>
      </c>
      <c r="D115" s="99">
        <v>1</v>
      </c>
      <c r="E115" s="98">
        <v>90</v>
      </c>
      <c r="F115" s="98">
        <v>65</v>
      </c>
      <c r="G115" s="98">
        <f>(E115-F115)*D115</f>
        <v>25</v>
      </c>
      <c r="H115" s="98" t="str">
        <f>TEXT(B115,"dddd")</f>
        <v>Sunday</v>
      </c>
      <c r="I115" s="100" t="str">
        <f>"Week " &amp; (INT((B115 - DATE(2026,8,3)) / 7) + 1)</f>
        <v>Week 2</v>
      </c>
    </row>
    <row r="116" spans="2:9" ht="26.25" customHeight="1">
      <c r="B116" s="26">
        <v>46250</v>
      </c>
      <c r="C116" s="94" t="s">
        <v>99</v>
      </c>
      <c r="D116" s="99">
        <v>1</v>
      </c>
      <c r="E116" s="98">
        <v>1600</v>
      </c>
      <c r="F116" s="98">
        <v>1440</v>
      </c>
      <c r="G116" s="98">
        <f>(E116-F116)*D116</f>
        <v>160</v>
      </c>
      <c r="H116" s="98" t="str">
        <f>TEXT(B116,"dddd")</f>
        <v>Sunday</v>
      </c>
      <c r="I116" s="100" t="str">
        <f>"Week " &amp; (INT((B116 - DATE(2026,8,3)) / 7) + 1)</f>
        <v>Week 2</v>
      </c>
    </row>
    <row r="117" spans="2:9" ht="26.25" customHeight="1">
      <c r="B117" s="26">
        <v>46250</v>
      </c>
      <c r="C117" s="94" t="s">
        <v>100</v>
      </c>
      <c r="D117" s="99">
        <v>3</v>
      </c>
      <c r="E117" s="98">
        <v>15</v>
      </c>
      <c r="F117" s="98">
        <v>9.8000000000000007</v>
      </c>
      <c r="G117" s="98">
        <f>(E117-F117)*D117</f>
        <v>15.599999999999998</v>
      </c>
      <c r="H117" s="98" t="str">
        <f>TEXT(B117,"dddd")</f>
        <v>Sunday</v>
      </c>
      <c r="I117" s="100" t="str">
        <f>"Week " &amp; (INT((B117 - DATE(2026,8,3)) / 7) + 1)</f>
        <v>Week 2</v>
      </c>
    </row>
    <row r="118" spans="2:9" ht="26.25" customHeight="1">
      <c r="B118" s="26">
        <v>46250</v>
      </c>
      <c r="C118" s="94" t="s">
        <v>101</v>
      </c>
      <c r="D118" s="99">
        <v>5</v>
      </c>
      <c r="E118" s="98">
        <v>15</v>
      </c>
      <c r="F118" s="98">
        <v>11</v>
      </c>
      <c r="G118" s="98">
        <f>(E118-F118)*D118</f>
        <v>20</v>
      </c>
      <c r="H118" s="98" t="str">
        <f>TEXT(B118,"dddd")</f>
        <v>Sunday</v>
      </c>
      <c r="I118" s="100" t="str">
        <f>"Week " &amp; (INT((B118 - DATE(2026,8,3)) / 7) + 1)</f>
        <v>Week 2</v>
      </c>
    </row>
    <row r="119" spans="2:9" ht="26.25" customHeight="1">
      <c r="B119" s="94"/>
      <c r="C119" s="94"/>
      <c r="D119" s="94"/>
      <c r="E119" s="101"/>
      <c r="F119" s="101"/>
      <c r="G119" s="101"/>
      <c r="H119" s="101"/>
      <c r="I119" s="96"/>
    </row>
    <row r="120" spans="2:9" ht="26.25" customHeight="1">
      <c r="B120" s="94"/>
      <c r="C120" s="94"/>
      <c r="D120" s="94"/>
      <c r="E120" s="96"/>
      <c r="F120" s="96"/>
      <c r="G120" s="96"/>
      <c r="H120" s="96"/>
      <c r="I120" s="96"/>
    </row>
    <row r="121" spans="2:9" ht="26.25" customHeight="1">
      <c r="B121" s="94"/>
      <c r="C121" s="94"/>
      <c r="D121" s="94"/>
      <c r="E121" s="96"/>
      <c r="F121" s="96"/>
      <c r="G121" s="96"/>
      <c r="H121" s="96"/>
      <c r="I121" s="96"/>
    </row>
    <row r="122" spans="2:9" ht="26.25" customHeight="1">
      <c r="B122" s="94"/>
      <c r="C122" s="94"/>
      <c r="D122" s="94"/>
      <c r="E122" s="96"/>
      <c r="F122" s="96"/>
      <c r="G122" s="96"/>
      <c r="H122" s="96"/>
      <c r="I122" s="96"/>
    </row>
    <row r="123" spans="2:9" ht="26.25" customHeight="1">
      <c r="B123" s="94"/>
      <c r="C123" s="94"/>
      <c r="D123" s="94"/>
      <c r="E123" s="96"/>
      <c r="F123" s="96"/>
      <c r="G123" s="96"/>
      <c r="H123" s="96"/>
      <c r="I123" s="96"/>
    </row>
    <row r="124" spans="2:9" ht="26.25" customHeight="1">
      <c r="B124" s="94"/>
      <c r="C124" s="94"/>
      <c r="D124" s="94"/>
      <c r="E124" s="96"/>
      <c r="F124" s="96"/>
      <c r="G124" s="96"/>
      <c r="H124" s="96"/>
      <c r="I124" s="96"/>
    </row>
    <row r="125" spans="2:9" ht="26.25" customHeight="1">
      <c r="B125" s="94"/>
      <c r="C125" s="94"/>
      <c r="D125" s="94"/>
      <c r="E125" s="96"/>
      <c r="F125" s="96"/>
      <c r="G125" s="96"/>
      <c r="H125" s="96"/>
      <c r="I125" s="96"/>
    </row>
    <row r="126" spans="2:9" ht="26.25" customHeight="1">
      <c r="B126" s="94"/>
      <c r="C126" s="94"/>
      <c r="D126" s="94"/>
      <c r="E126" s="96"/>
      <c r="F126" s="96"/>
      <c r="G126" s="96"/>
      <c r="H126" s="96"/>
      <c r="I126" s="96"/>
    </row>
    <row r="127" spans="2:9" ht="26.25" customHeight="1">
      <c r="B127" s="94"/>
      <c r="C127" s="94"/>
      <c r="D127" s="94"/>
      <c r="E127" s="96"/>
      <c r="F127" s="96"/>
      <c r="G127" s="96"/>
      <c r="H127" s="96"/>
      <c r="I127" s="96"/>
    </row>
    <row r="128" spans="2:9" ht="26.25" customHeight="1">
      <c r="B128" s="94"/>
      <c r="C128" s="94"/>
      <c r="D128" s="94"/>
      <c r="E128" s="96"/>
      <c r="F128" s="96"/>
      <c r="G128" s="96"/>
      <c r="H128" s="96"/>
      <c r="I128" s="96"/>
    </row>
    <row r="129" spans="2:9" ht="26.25" customHeight="1">
      <c r="B129" s="94"/>
      <c r="C129" s="94"/>
      <c r="D129" s="94"/>
      <c r="E129" s="96"/>
      <c r="F129" s="96"/>
      <c r="G129" s="96"/>
      <c r="H129" s="96"/>
      <c r="I129" s="96"/>
    </row>
    <row r="130" spans="2:9" ht="26.25" customHeight="1">
      <c r="B130" s="94"/>
      <c r="C130" s="94"/>
      <c r="D130" s="94"/>
      <c r="E130" s="96"/>
      <c r="F130" s="96"/>
      <c r="G130" s="96"/>
      <c r="H130" s="96"/>
      <c r="I130" s="96"/>
    </row>
    <row r="131" spans="2:9" ht="26.25" customHeight="1">
      <c r="B131" s="94"/>
      <c r="C131" s="94"/>
      <c r="D131" s="94"/>
      <c r="E131" s="96"/>
      <c r="F131" s="96"/>
      <c r="G131" s="96"/>
      <c r="H131" s="96"/>
      <c r="I131" s="96"/>
    </row>
    <row r="132" spans="2:9" ht="26.25" customHeight="1">
      <c r="B132" s="94"/>
      <c r="C132" s="94"/>
      <c r="D132" s="94"/>
      <c r="E132" s="96"/>
      <c r="F132" s="96"/>
      <c r="G132" s="96"/>
      <c r="H132" s="96"/>
      <c r="I132" s="96"/>
    </row>
    <row r="133" spans="2:9" ht="26.25" customHeight="1">
      <c r="B133" s="94"/>
      <c r="C133" s="94"/>
      <c r="D133" s="94"/>
      <c r="E133" s="96"/>
      <c r="F133" s="96"/>
      <c r="G133" s="96"/>
      <c r="H133" s="96"/>
      <c r="I133" s="96"/>
    </row>
    <row r="134" spans="2:9" ht="26.25" customHeight="1">
      <c r="B134" s="94"/>
      <c r="C134" s="94"/>
      <c r="D134" s="94"/>
      <c r="E134" s="96"/>
      <c r="F134" s="96"/>
      <c r="G134" s="96"/>
      <c r="H134" s="96"/>
      <c r="I134" s="96"/>
    </row>
    <row r="135" spans="2:9" ht="26.25" customHeight="1">
      <c r="B135" s="94"/>
      <c r="C135" s="94"/>
      <c r="D135" s="94"/>
      <c r="E135" s="96"/>
      <c r="F135" s="96"/>
      <c r="G135" s="96"/>
      <c r="H135" s="96"/>
      <c r="I135" s="96"/>
    </row>
    <row r="136" spans="2:9" ht="26.25" customHeight="1">
      <c r="B136" s="94"/>
      <c r="C136" s="94"/>
      <c r="D136" s="94"/>
      <c r="E136" s="96"/>
      <c r="F136" s="96"/>
      <c r="G136" s="96"/>
      <c r="H136" s="96"/>
      <c r="I136" s="96"/>
    </row>
    <row r="137" spans="2:9" ht="26.25" customHeight="1">
      <c r="B137" s="94"/>
      <c r="C137" s="94"/>
      <c r="D137" s="94"/>
      <c r="E137" s="96"/>
      <c r="F137" s="96"/>
      <c r="G137" s="96"/>
      <c r="H137" s="96"/>
      <c r="I137" s="96"/>
    </row>
    <row r="138" spans="2:9" ht="26.25" customHeight="1">
      <c r="B138" s="94"/>
      <c r="C138" s="94"/>
      <c r="D138" s="94"/>
      <c r="E138" s="96"/>
      <c r="F138" s="96"/>
      <c r="G138" s="96"/>
      <c r="H138" s="96"/>
      <c r="I138" s="96"/>
    </row>
    <row r="139" spans="2:9" ht="26.25" customHeight="1">
      <c r="B139" s="94"/>
      <c r="C139" s="94"/>
      <c r="D139" s="94"/>
      <c r="E139" s="96"/>
      <c r="F139" s="96"/>
      <c r="G139" s="96"/>
      <c r="H139" s="96"/>
      <c r="I139" s="96"/>
    </row>
    <row r="140" spans="2:9" ht="26.25" customHeight="1">
      <c r="B140" s="94"/>
      <c r="C140" s="94"/>
      <c r="D140" s="94"/>
      <c r="E140" s="96"/>
      <c r="F140" s="96"/>
      <c r="G140" s="96"/>
      <c r="H140" s="96"/>
      <c r="I140" s="96"/>
    </row>
    <row r="141" spans="2:9" ht="26.25" customHeight="1">
      <c r="B141" s="94"/>
      <c r="C141" s="94"/>
      <c r="D141" s="94"/>
      <c r="E141" s="96"/>
      <c r="F141" s="96"/>
      <c r="G141" s="96"/>
      <c r="H141" s="96"/>
      <c r="I141" s="96"/>
    </row>
    <row r="142" spans="2:9" ht="26.25" customHeight="1">
      <c r="B142" s="94"/>
      <c r="C142" s="94"/>
      <c r="D142" s="94"/>
      <c r="E142" s="96"/>
      <c r="F142" s="96"/>
      <c r="G142" s="96"/>
      <c r="H142" s="96"/>
      <c r="I142" s="96"/>
    </row>
    <row r="143" spans="2:9" ht="26.25" customHeight="1">
      <c r="B143" s="94"/>
      <c r="C143" s="94"/>
      <c r="D143" s="94"/>
      <c r="E143" s="96"/>
      <c r="F143" s="96"/>
      <c r="G143" s="96"/>
      <c r="H143" s="96"/>
      <c r="I143" s="96"/>
    </row>
    <row r="144" spans="2:9" ht="26.25" customHeight="1">
      <c r="B144" s="94"/>
      <c r="C144" s="94"/>
      <c r="D144" s="94"/>
      <c r="E144" s="96"/>
      <c r="F144" s="96"/>
      <c r="G144" s="96"/>
      <c r="H144" s="96"/>
      <c r="I144" s="96"/>
    </row>
    <row r="145" spans="2:9" ht="26.25" customHeight="1">
      <c r="B145" s="94"/>
      <c r="C145" s="94"/>
      <c r="D145" s="94"/>
      <c r="E145" s="96"/>
      <c r="F145" s="96"/>
      <c r="G145" s="96"/>
      <c r="H145" s="96"/>
      <c r="I145" s="96"/>
    </row>
    <row r="146" spans="2:9" ht="26.25" customHeight="1">
      <c r="B146" s="94"/>
      <c r="C146" s="94"/>
      <c r="D146" s="94"/>
      <c r="E146" s="96"/>
      <c r="F146" s="96"/>
      <c r="G146" s="96"/>
      <c r="H146" s="96"/>
      <c r="I146" s="96"/>
    </row>
    <row r="147" spans="2:9" ht="26.25" customHeight="1">
      <c r="B147" s="94"/>
      <c r="C147" s="94"/>
      <c r="D147" s="94"/>
      <c r="E147" s="96"/>
      <c r="F147" s="96"/>
      <c r="G147" s="96"/>
      <c r="H147" s="96"/>
      <c r="I147" s="96"/>
    </row>
    <row r="148" spans="2:9" ht="26.25" customHeight="1">
      <c r="B148" s="94"/>
      <c r="C148" s="94"/>
      <c r="D148" s="94"/>
      <c r="E148" s="96"/>
      <c r="F148" s="96"/>
      <c r="G148" s="96"/>
      <c r="H148" s="96"/>
      <c r="I148" s="96"/>
    </row>
    <row r="149" spans="2:9" ht="26.25" customHeight="1">
      <c r="B149" s="94"/>
      <c r="C149" s="94"/>
      <c r="D149" s="94"/>
      <c r="E149" s="96"/>
      <c r="F149" s="96"/>
      <c r="G149" s="96"/>
      <c r="H149" s="96"/>
      <c r="I149" s="96"/>
    </row>
    <row r="150" spans="2:9" ht="26.25" customHeight="1">
      <c r="B150" s="94"/>
      <c r="C150" s="94"/>
      <c r="D150" s="94"/>
      <c r="E150" s="96"/>
      <c r="F150" s="96"/>
      <c r="G150" s="96"/>
      <c r="H150" s="96"/>
      <c r="I150" s="96"/>
    </row>
    <row r="151" spans="2:9" ht="26.25" customHeight="1">
      <c r="B151" s="94"/>
      <c r="C151" s="94"/>
      <c r="D151" s="94"/>
      <c r="E151" s="96"/>
      <c r="F151" s="96"/>
      <c r="G151" s="96"/>
      <c r="H151" s="96"/>
      <c r="I151" s="96"/>
    </row>
    <row r="152" spans="2:9" ht="26.25" customHeight="1">
      <c r="B152" s="94"/>
      <c r="C152" s="94"/>
      <c r="D152" s="94"/>
      <c r="E152" s="96"/>
      <c r="F152" s="96"/>
      <c r="G152" s="96"/>
      <c r="H152" s="96"/>
      <c r="I152" s="96"/>
    </row>
    <row r="153" spans="2:9" ht="26.25" customHeight="1">
      <c r="B153" s="94"/>
      <c r="C153" s="94"/>
      <c r="D153" s="94"/>
      <c r="E153" s="96"/>
      <c r="F153" s="96"/>
      <c r="G153" s="96"/>
      <c r="H153" s="96"/>
      <c r="I153" s="96"/>
    </row>
    <row r="154" spans="2:9" ht="26.25" customHeight="1">
      <c r="B154" s="94"/>
      <c r="C154" s="94"/>
      <c r="D154" s="94"/>
      <c r="E154" s="96"/>
      <c r="F154" s="96"/>
      <c r="G154" s="96"/>
      <c r="H154" s="96"/>
      <c r="I154" s="96"/>
    </row>
    <row r="155" spans="2:9" ht="26.25" customHeight="1">
      <c r="B155" s="94"/>
      <c r="C155" s="94"/>
      <c r="D155" s="94"/>
      <c r="E155" s="96"/>
      <c r="F155" s="96"/>
      <c r="G155" s="96"/>
      <c r="H155" s="96"/>
      <c r="I155" s="96"/>
    </row>
    <row r="156" spans="2:9" ht="26.25" customHeight="1">
      <c r="B156" s="94"/>
      <c r="C156" s="94"/>
      <c r="D156" s="94"/>
      <c r="E156" s="96"/>
      <c r="F156" s="96"/>
      <c r="G156" s="96"/>
      <c r="H156" s="96"/>
      <c r="I156" s="96"/>
    </row>
    <row r="157" spans="2:9" ht="26.25" customHeight="1">
      <c r="B157" s="94"/>
      <c r="C157" s="94"/>
      <c r="D157" s="94"/>
      <c r="E157" s="96"/>
      <c r="F157" s="96"/>
      <c r="G157" s="96"/>
      <c r="H157" s="96"/>
      <c r="I157" s="96"/>
    </row>
    <row r="158" spans="2:9" ht="26.25" customHeight="1">
      <c r="B158" s="94"/>
      <c r="C158" s="94"/>
      <c r="D158" s="94"/>
      <c r="E158" s="96"/>
      <c r="F158" s="96"/>
      <c r="G158" s="96"/>
      <c r="H158" s="96"/>
      <c r="I158" s="96"/>
    </row>
    <row r="159" spans="2:9" ht="26.25" customHeight="1">
      <c r="B159" s="94"/>
      <c r="C159" s="94"/>
      <c r="D159" s="94"/>
      <c r="E159" s="96"/>
      <c r="F159" s="96"/>
      <c r="G159" s="96"/>
      <c r="H159" s="96"/>
      <c r="I159" s="96"/>
    </row>
    <row r="160" spans="2:9" ht="26.25" customHeight="1">
      <c r="B160" s="94"/>
      <c r="C160" s="94"/>
      <c r="D160" s="94"/>
      <c r="E160" s="96"/>
      <c r="F160" s="96"/>
      <c r="G160" s="96"/>
      <c r="H160" s="96"/>
      <c r="I160" s="96"/>
    </row>
    <row r="161" spans="2:9" ht="26.25" customHeight="1">
      <c r="B161" s="94"/>
      <c r="C161" s="94"/>
      <c r="D161" s="94"/>
      <c r="E161" s="96"/>
      <c r="F161" s="96"/>
      <c r="G161" s="96"/>
      <c r="H161" s="96"/>
      <c r="I161" s="96"/>
    </row>
    <row r="162" spans="2:9" ht="26.25" customHeight="1">
      <c r="B162" s="94"/>
      <c r="C162" s="94"/>
      <c r="D162" s="94"/>
      <c r="E162" s="96"/>
      <c r="F162" s="96"/>
      <c r="G162" s="96"/>
      <c r="H162" s="96"/>
      <c r="I162" s="96"/>
    </row>
    <row r="163" spans="2:9" ht="26.25" customHeight="1">
      <c r="B163" s="94"/>
      <c r="C163" s="94"/>
      <c r="D163" s="94"/>
      <c r="E163" s="96"/>
      <c r="F163" s="96"/>
      <c r="G163" s="96"/>
      <c r="H163" s="96"/>
      <c r="I163" s="96"/>
    </row>
    <row r="164" spans="2:9" ht="26.25" customHeight="1">
      <c r="B164" s="94"/>
      <c r="C164" s="94"/>
      <c r="D164" s="94"/>
      <c r="E164" s="96"/>
      <c r="F164" s="96"/>
      <c r="G164" s="96"/>
      <c r="H164" s="96"/>
      <c r="I164" s="96"/>
    </row>
    <row r="165" spans="2:9" ht="26.25" customHeight="1">
      <c r="B165" s="94"/>
      <c r="C165" s="94"/>
      <c r="D165" s="94"/>
      <c r="E165" s="96"/>
      <c r="F165" s="96"/>
      <c r="G165" s="96"/>
      <c r="H165" s="96"/>
      <c r="I165" s="96"/>
    </row>
    <row r="166" spans="2:9" ht="26.25" customHeight="1">
      <c r="B166" s="94"/>
      <c r="C166" s="94"/>
      <c r="D166" s="94"/>
      <c r="E166" s="96"/>
      <c r="F166" s="96"/>
      <c r="G166" s="96"/>
      <c r="H166" s="96"/>
      <c r="I166" s="96"/>
    </row>
    <row r="167" spans="2:9" ht="26.25" customHeight="1">
      <c r="B167" s="94"/>
      <c r="C167" s="94"/>
      <c r="D167" s="94"/>
      <c r="E167" s="96"/>
      <c r="F167" s="96"/>
      <c r="G167" s="96"/>
      <c r="H167" s="96"/>
      <c r="I167" s="96"/>
    </row>
    <row r="168" spans="2:9" ht="26.25" customHeight="1">
      <c r="B168" s="94"/>
      <c r="C168" s="94"/>
      <c r="D168" s="94"/>
      <c r="E168" s="96"/>
      <c r="F168" s="96"/>
      <c r="G168" s="96"/>
      <c r="H168" s="96"/>
      <c r="I168" s="96"/>
    </row>
    <row r="169" spans="2:9" ht="26.25" customHeight="1">
      <c r="B169" s="94"/>
      <c r="C169" s="94"/>
      <c r="D169" s="94"/>
      <c r="E169" s="96"/>
      <c r="F169" s="96"/>
      <c r="G169" s="96"/>
      <c r="H169" s="96"/>
      <c r="I169" s="96"/>
    </row>
    <row r="170" spans="2:9" ht="26.25" customHeight="1">
      <c r="B170" s="94"/>
      <c r="C170" s="94"/>
      <c r="D170" s="94"/>
      <c r="E170" s="96"/>
      <c r="F170" s="96"/>
      <c r="G170" s="96"/>
      <c r="H170" s="96"/>
      <c r="I170" s="96"/>
    </row>
    <row r="171" spans="2:9" ht="26.25" customHeight="1">
      <c r="B171" s="94"/>
      <c r="C171" s="94"/>
      <c r="D171" s="94"/>
      <c r="E171" s="96"/>
      <c r="F171" s="96"/>
      <c r="G171" s="96"/>
      <c r="H171" s="96"/>
      <c r="I171" s="96"/>
    </row>
    <row r="172" spans="2:9" ht="26.25" customHeight="1">
      <c r="B172" s="94"/>
      <c r="C172" s="94"/>
      <c r="D172" s="94"/>
      <c r="E172" s="96"/>
      <c r="F172" s="96"/>
      <c r="G172" s="96"/>
      <c r="H172" s="96"/>
      <c r="I172" s="96"/>
    </row>
    <row r="173" spans="2:9" ht="26.25" customHeight="1">
      <c r="B173" s="94"/>
      <c r="C173" s="94"/>
      <c r="D173" s="94"/>
      <c r="E173" s="96"/>
      <c r="F173" s="96"/>
      <c r="G173" s="96"/>
      <c r="H173" s="96"/>
      <c r="I173" s="96"/>
    </row>
    <row r="174" spans="2:9" ht="26.25" customHeight="1">
      <c r="B174" s="94"/>
      <c r="C174" s="94"/>
      <c r="D174" s="94"/>
      <c r="E174" s="96"/>
      <c r="F174" s="96"/>
      <c r="G174" s="96"/>
      <c r="H174" s="96"/>
      <c r="I174" s="96"/>
    </row>
    <row r="175" spans="2:9" ht="26.25" customHeight="1">
      <c r="B175" s="94"/>
      <c r="C175" s="94"/>
      <c r="D175" s="94"/>
      <c r="E175" s="96"/>
      <c r="F175" s="96"/>
      <c r="G175" s="96"/>
      <c r="H175" s="96"/>
      <c r="I175" s="96"/>
    </row>
    <row r="176" spans="2:9" ht="26.25" customHeight="1">
      <c r="B176" s="94"/>
      <c r="C176" s="94"/>
      <c r="D176" s="94"/>
      <c r="E176" s="96"/>
      <c r="F176" s="96"/>
      <c r="G176" s="96"/>
      <c r="H176" s="96"/>
      <c r="I176" s="96"/>
    </row>
    <row r="177" spans="2:9" ht="26.25" customHeight="1">
      <c r="B177" s="94"/>
      <c r="C177" s="94"/>
      <c r="D177" s="94"/>
      <c r="E177" s="96"/>
      <c r="F177" s="96"/>
      <c r="G177" s="96"/>
      <c r="H177" s="96"/>
      <c r="I177" s="96"/>
    </row>
    <row r="178" spans="2:9" ht="26.25" customHeight="1">
      <c r="B178" s="94"/>
      <c r="C178" s="94"/>
      <c r="D178" s="94"/>
      <c r="E178" s="96"/>
      <c r="F178" s="96"/>
      <c r="G178" s="96"/>
      <c r="H178" s="96"/>
      <c r="I178" s="96"/>
    </row>
    <row r="179" spans="2:9" ht="26.25" customHeight="1">
      <c r="B179" s="94"/>
      <c r="C179" s="94"/>
      <c r="D179" s="94"/>
      <c r="E179" s="96"/>
      <c r="F179" s="96"/>
      <c r="G179" s="96"/>
      <c r="H179" s="96"/>
      <c r="I179" s="96"/>
    </row>
    <row r="180" spans="2:9" ht="26.25" customHeight="1">
      <c r="B180" s="94"/>
      <c r="C180" s="94"/>
      <c r="D180" s="94"/>
      <c r="E180" s="96"/>
      <c r="F180" s="96"/>
      <c r="G180" s="96"/>
      <c r="H180" s="96"/>
      <c r="I180" s="96"/>
    </row>
    <row r="181" spans="2:9" ht="26.25" customHeight="1">
      <c r="B181" s="94"/>
      <c r="C181" s="94"/>
      <c r="D181" s="94"/>
      <c r="E181" s="96"/>
      <c r="F181" s="96"/>
      <c r="G181" s="96"/>
      <c r="H181" s="96"/>
      <c r="I181" s="96"/>
    </row>
    <row r="182" spans="2:9" ht="26.25" customHeight="1">
      <c r="B182" s="94"/>
      <c r="C182" s="94"/>
      <c r="D182" s="94"/>
      <c r="E182" s="96"/>
      <c r="F182" s="96"/>
      <c r="G182" s="96"/>
      <c r="H182" s="96"/>
      <c r="I182" s="96"/>
    </row>
    <row r="183" spans="2:9" ht="26.25" customHeight="1">
      <c r="B183" s="94"/>
      <c r="C183" s="94"/>
      <c r="D183" s="94"/>
      <c r="E183" s="96"/>
      <c r="F183" s="96"/>
      <c r="G183" s="96"/>
      <c r="H183" s="96"/>
      <c r="I183" s="96"/>
    </row>
    <row r="184" spans="2:9" ht="26.25" customHeight="1">
      <c r="B184" s="94"/>
      <c r="C184" s="94"/>
      <c r="D184" s="94"/>
      <c r="E184" s="96"/>
      <c r="F184" s="96"/>
      <c r="G184" s="96"/>
      <c r="H184" s="96"/>
      <c r="I184" s="96"/>
    </row>
    <row r="185" spans="2:9" ht="26.25" customHeight="1">
      <c r="B185" s="94"/>
      <c r="C185" s="94"/>
      <c r="D185" s="94"/>
      <c r="E185" s="96"/>
      <c r="F185" s="96"/>
      <c r="G185" s="96"/>
      <c r="H185" s="96"/>
      <c r="I185" s="96"/>
    </row>
    <row r="186" spans="2:9" ht="26.25" customHeight="1">
      <c r="B186" s="94"/>
      <c r="C186" s="94"/>
      <c r="D186" s="94"/>
      <c r="E186" s="96"/>
      <c r="F186" s="96"/>
      <c r="G186" s="96"/>
      <c r="H186" s="96"/>
      <c r="I186" s="96"/>
    </row>
    <row r="187" spans="2:9" ht="26.25" customHeight="1">
      <c r="B187" s="94"/>
      <c r="C187" s="94"/>
      <c r="D187" s="94"/>
      <c r="E187" s="96"/>
      <c r="F187" s="96"/>
      <c r="G187" s="96"/>
      <c r="H187" s="96"/>
      <c r="I187" s="96"/>
    </row>
    <row r="188" spans="2:9" ht="26.25" customHeight="1">
      <c r="B188" s="94"/>
      <c r="C188" s="94"/>
      <c r="D188" s="94"/>
      <c r="E188" s="96"/>
      <c r="F188" s="96"/>
      <c r="G188" s="96"/>
      <c r="H188" s="96"/>
      <c r="I188" s="96"/>
    </row>
    <row r="189" spans="2:9" ht="26.25" customHeight="1">
      <c r="B189" s="94"/>
      <c r="C189" s="94"/>
      <c r="D189" s="94"/>
      <c r="E189" s="96"/>
      <c r="F189" s="96"/>
      <c r="G189" s="96"/>
      <c r="H189" s="96"/>
      <c r="I189" s="96"/>
    </row>
    <row r="190" spans="2:9" ht="26.25" customHeight="1">
      <c r="B190" s="94"/>
      <c r="C190" s="94"/>
      <c r="D190" s="94"/>
      <c r="E190" s="96"/>
      <c r="F190" s="96"/>
      <c r="G190" s="96"/>
      <c r="H190" s="96"/>
      <c r="I190" s="96"/>
    </row>
    <row r="191" spans="2:9" ht="26.25" customHeight="1">
      <c r="B191" s="94"/>
      <c r="C191" s="94"/>
      <c r="D191" s="94"/>
      <c r="E191" s="96"/>
      <c r="F191" s="96"/>
      <c r="G191" s="96"/>
      <c r="H191" s="96"/>
      <c r="I191" s="96"/>
    </row>
    <row r="192" spans="2:9" ht="26.25" customHeight="1">
      <c r="B192" s="94"/>
      <c r="C192" s="94"/>
      <c r="D192" s="94"/>
      <c r="E192" s="96"/>
      <c r="F192" s="96"/>
      <c r="G192" s="96"/>
      <c r="H192" s="96"/>
      <c r="I192" s="96"/>
    </row>
    <row r="193" spans="2:9" ht="26.25" customHeight="1">
      <c r="B193" s="94"/>
      <c r="C193" s="94"/>
      <c r="D193" s="94"/>
      <c r="E193" s="96"/>
      <c r="F193" s="96"/>
      <c r="G193" s="96"/>
      <c r="H193" s="96"/>
      <c r="I193" s="96"/>
    </row>
    <row r="194" spans="2:9" ht="26.25" customHeight="1">
      <c r="B194" s="94"/>
      <c r="C194" s="94"/>
      <c r="D194" s="94"/>
      <c r="E194" s="96"/>
      <c r="F194" s="96"/>
      <c r="G194" s="96"/>
      <c r="H194" s="96"/>
      <c r="I194" s="96"/>
    </row>
    <row r="195" spans="2:9" ht="26.25" customHeight="1">
      <c r="B195" s="94"/>
      <c r="C195" s="94"/>
      <c r="D195" s="94"/>
      <c r="E195" s="96"/>
      <c r="F195" s="96"/>
      <c r="G195" s="96"/>
      <c r="H195" s="96"/>
      <c r="I195" s="96"/>
    </row>
    <row r="196" spans="2:9" ht="26.25" customHeight="1">
      <c r="B196" s="94"/>
      <c r="C196" s="94"/>
      <c r="D196" s="94"/>
      <c r="E196" s="96"/>
      <c r="F196" s="96"/>
      <c r="G196" s="96"/>
      <c r="H196" s="96"/>
      <c r="I196" s="96"/>
    </row>
    <row r="197" spans="2:9" ht="26.25" customHeight="1">
      <c r="B197" s="94"/>
      <c r="C197" s="94"/>
      <c r="D197" s="94"/>
      <c r="E197" s="96"/>
      <c r="F197" s="96"/>
      <c r="G197" s="96"/>
      <c r="H197" s="96"/>
      <c r="I197" s="96"/>
    </row>
    <row r="198" spans="2:9" ht="26.25" customHeight="1">
      <c r="B198" s="94"/>
      <c r="C198" s="94"/>
      <c r="D198" s="94"/>
      <c r="E198" s="96"/>
      <c r="F198" s="96"/>
      <c r="G198" s="96"/>
      <c r="H198" s="96"/>
      <c r="I198" s="96"/>
    </row>
    <row r="199" spans="2:9" ht="26.25" customHeight="1">
      <c r="B199" s="94"/>
      <c r="C199" s="94"/>
      <c r="D199" s="94"/>
      <c r="E199" s="96"/>
      <c r="F199" s="96"/>
      <c r="G199" s="96"/>
      <c r="H199" s="96"/>
      <c r="I199" s="96"/>
    </row>
    <row r="200" spans="2:9" ht="26.25" customHeight="1">
      <c r="B200" s="94"/>
      <c r="C200" s="94"/>
      <c r="D200" s="94"/>
      <c r="E200" s="96"/>
      <c r="F200" s="96"/>
      <c r="G200" s="96"/>
      <c r="H200" s="96"/>
      <c r="I200" s="96"/>
    </row>
    <row r="201" spans="2:9" ht="26.25" customHeight="1">
      <c r="B201" s="94"/>
      <c r="C201" s="94"/>
      <c r="D201" s="94"/>
      <c r="E201" s="96"/>
      <c r="F201" s="96"/>
      <c r="G201" s="96"/>
      <c r="H201" s="96"/>
      <c r="I201" s="96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4D8294-62BD-484F-A80B-A729171D419B}">
  <dimension ref="E2:Y50"/>
  <sheetViews>
    <sheetView topLeftCell="F32" workbookViewId="0">
      <selection activeCell="O52" sqref="O52"/>
    </sheetView>
  </sheetViews>
  <sheetFormatPr defaultColWidth="9.42578125" defaultRowHeight="20.25" customHeight="1"/>
  <cols>
    <col min="5" max="5" width="14.5703125" customWidth="1"/>
    <col min="6" max="6" width="24.42578125" customWidth="1"/>
    <col min="14" max="14" width="16.42578125" bestFit="1" customWidth="1"/>
    <col min="15" max="15" width="16.7109375" style="29" customWidth="1"/>
    <col min="24" max="24" width="16.42578125" bestFit="1" customWidth="1"/>
    <col min="25" max="25" width="10.85546875" bestFit="1" customWidth="1"/>
  </cols>
  <sheetData>
    <row r="2" spans="5:25" ht="15" customHeight="1">
      <c r="E2" s="110" t="s">
        <v>20</v>
      </c>
      <c r="F2" s="111" t="s">
        <v>102</v>
      </c>
      <c r="N2" s="104" t="s">
        <v>20</v>
      </c>
      <c r="O2" s="29" t="s">
        <v>102</v>
      </c>
      <c r="X2" s="104" t="s">
        <v>20</v>
      </c>
      <c r="Y2" t="s">
        <v>102</v>
      </c>
    </row>
    <row r="4" spans="5:25" ht="15" customHeight="1">
      <c r="E4" s="112" t="s">
        <v>13</v>
      </c>
      <c r="F4" s="105" t="s">
        <v>103</v>
      </c>
      <c r="N4" s="115" t="s">
        <v>14</v>
      </c>
      <c r="O4" s="116" t="s">
        <v>104</v>
      </c>
      <c r="X4" s="113" t="s">
        <v>14</v>
      </c>
      <c r="Y4" s="114" t="s">
        <v>105</v>
      </c>
    </row>
    <row r="5" spans="5:25" ht="17.25" customHeight="1">
      <c r="E5" s="107">
        <v>46237</v>
      </c>
      <c r="F5" s="108">
        <v>562.20000000000005</v>
      </c>
      <c r="N5" s="114" t="s">
        <v>24</v>
      </c>
      <c r="O5" s="117">
        <v>470</v>
      </c>
      <c r="X5" s="114" t="s">
        <v>55</v>
      </c>
      <c r="Y5" s="117">
        <v>21</v>
      </c>
    </row>
    <row r="6" spans="5:25" ht="17.25" customHeight="1">
      <c r="E6" s="107">
        <v>46238</v>
      </c>
      <c r="F6" s="108">
        <v>683</v>
      </c>
      <c r="N6" s="114" t="s">
        <v>36</v>
      </c>
      <c r="O6" s="117">
        <v>380</v>
      </c>
      <c r="X6" s="114" t="s">
        <v>52</v>
      </c>
      <c r="Y6" s="118">
        <v>20</v>
      </c>
    </row>
    <row r="7" spans="5:25" ht="17.25" customHeight="1">
      <c r="E7" s="107">
        <v>46239</v>
      </c>
      <c r="F7" s="108">
        <v>272</v>
      </c>
      <c r="N7" s="114" t="s">
        <v>45</v>
      </c>
      <c r="O7" s="117">
        <v>256</v>
      </c>
      <c r="X7" s="114" t="s">
        <v>49</v>
      </c>
      <c r="Y7" s="118">
        <v>15</v>
      </c>
    </row>
    <row r="8" spans="5:25" ht="17.25" customHeight="1">
      <c r="E8" s="107">
        <v>46240</v>
      </c>
      <c r="F8" s="108">
        <v>558</v>
      </c>
      <c r="N8" s="114" t="s">
        <v>21</v>
      </c>
      <c r="O8" s="117">
        <v>238</v>
      </c>
      <c r="X8" s="114" t="s">
        <v>21</v>
      </c>
      <c r="Y8" s="118">
        <v>14</v>
      </c>
    </row>
    <row r="9" spans="5:25" ht="17.25" customHeight="1">
      <c r="E9" s="107">
        <v>46241</v>
      </c>
      <c r="F9" s="108">
        <v>601.5</v>
      </c>
      <c r="N9" s="114" t="s">
        <v>53</v>
      </c>
      <c r="O9" s="117">
        <v>220</v>
      </c>
      <c r="X9" s="114" t="s">
        <v>28</v>
      </c>
      <c r="Y9" s="118">
        <v>14</v>
      </c>
    </row>
    <row r="10" spans="5:25" ht="17.25" customHeight="1">
      <c r="E10" s="107">
        <v>46242</v>
      </c>
      <c r="F10" s="108">
        <v>399.4</v>
      </c>
      <c r="N10" s="114" t="s">
        <v>30</v>
      </c>
      <c r="O10" s="117">
        <v>162</v>
      </c>
      <c r="X10" s="114" t="s">
        <v>25</v>
      </c>
      <c r="Y10" s="118">
        <v>10</v>
      </c>
    </row>
    <row r="11" spans="5:25" ht="17.25" customHeight="1">
      <c r="E11" s="107">
        <v>46243</v>
      </c>
      <c r="F11" s="108">
        <v>564.29999999999995</v>
      </c>
      <c r="N11" s="114" t="s">
        <v>28</v>
      </c>
      <c r="O11" s="117">
        <v>126</v>
      </c>
      <c r="X11" s="114" t="s">
        <v>26</v>
      </c>
      <c r="Y11" s="118">
        <v>8</v>
      </c>
    </row>
    <row r="12" spans="5:25" ht="17.25" customHeight="1">
      <c r="E12" s="109" t="s">
        <v>106</v>
      </c>
      <c r="F12" s="106">
        <v>3640.3999999999996</v>
      </c>
      <c r="N12" s="114" t="s">
        <v>22</v>
      </c>
      <c r="O12" s="117">
        <v>120</v>
      </c>
      <c r="X12" s="114" t="s">
        <v>50</v>
      </c>
      <c r="Y12" s="118">
        <v>8</v>
      </c>
    </row>
    <row r="13" spans="5:25" ht="15" customHeight="1">
      <c r="N13" s="114" t="s">
        <v>49</v>
      </c>
      <c r="O13" s="117">
        <v>97.5</v>
      </c>
      <c r="X13" s="114" t="s">
        <v>35</v>
      </c>
      <c r="Y13" s="118">
        <v>7</v>
      </c>
    </row>
    <row r="14" spans="5:25" ht="15" customHeight="1">
      <c r="N14" s="114" t="s">
        <v>47</v>
      </c>
      <c r="O14" s="117">
        <v>96</v>
      </c>
      <c r="X14" s="114" t="s">
        <v>39</v>
      </c>
      <c r="Y14" s="118">
        <v>6</v>
      </c>
    </row>
    <row r="15" spans="5:25" ht="15" customHeight="1">
      <c r="N15" s="114" t="s">
        <v>44</v>
      </c>
      <c r="O15" s="117">
        <v>94</v>
      </c>
      <c r="X15" s="114" t="s">
        <v>31</v>
      </c>
      <c r="Y15" s="118">
        <v>6</v>
      </c>
    </row>
    <row r="16" spans="5:25" ht="15" customHeight="1">
      <c r="N16" s="114" t="s">
        <v>32</v>
      </c>
      <c r="O16" s="117">
        <v>84</v>
      </c>
      <c r="X16" s="114" t="s">
        <v>41</v>
      </c>
      <c r="Y16" s="118">
        <v>6</v>
      </c>
    </row>
    <row r="17" spans="14:25" ht="15" customHeight="1">
      <c r="N17" s="114" t="s">
        <v>51</v>
      </c>
      <c r="O17" s="117">
        <v>76</v>
      </c>
      <c r="X17" s="114" t="s">
        <v>30</v>
      </c>
      <c r="Y17" s="118">
        <v>6</v>
      </c>
    </row>
    <row r="18" spans="14:25" ht="15" customHeight="1">
      <c r="N18" s="114" t="s">
        <v>56</v>
      </c>
      <c r="O18" s="117">
        <v>74</v>
      </c>
      <c r="X18" s="114" t="s">
        <v>38</v>
      </c>
      <c r="Y18" s="118">
        <v>5</v>
      </c>
    </row>
    <row r="19" spans="14:25" ht="15" customHeight="1">
      <c r="N19" s="114" t="s">
        <v>31</v>
      </c>
      <c r="O19" s="117">
        <v>72</v>
      </c>
      <c r="X19" s="114" t="s">
        <v>32</v>
      </c>
      <c r="Y19" s="118">
        <v>4</v>
      </c>
    </row>
    <row r="20" spans="14:25" ht="15" customHeight="1">
      <c r="N20" s="114" t="s">
        <v>62</v>
      </c>
      <c r="O20" s="117">
        <v>70</v>
      </c>
      <c r="X20" s="114" t="s">
        <v>34</v>
      </c>
      <c r="Y20" s="118">
        <v>4</v>
      </c>
    </row>
    <row r="21" spans="14:25" ht="15" customHeight="1">
      <c r="N21" s="114" t="s">
        <v>27</v>
      </c>
      <c r="O21" s="117">
        <v>70</v>
      </c>
      <c r="X21" s="114" t="s">
        <v>47</v>
      </c>
      <c r="Y21" s="118">
        <v>4</v>
      </c>
    </row>
    <row r="22" spans="14:25" ht="15" customHeight="1">
      <c r="N22" s="114" t="s">
        <v>37</v>
      </c>
      <c r="O22" s="117">
        <v>66</v>
      </c>
      <c r="X22" s="114" t="s">
        <v>29</v>
      </c>
      <c r="Y22" s="118">
        <v>4</v>
      </c>
    </row>
    <row r="23" spans="14:25" ht="15" customHeight="1">
      <c r="N23" s="114" t="s">
        <v>25</v>
      </c>
      <c r="O23" s="117">
        <v>64</v>
      </c>
      <c r="X23" s="114" t="s">
        <v>64</v>
      </c>
      <c r="Y23" s="118">
        <v>4</v>
      </c>
    </row>
    <row r="24" spans="14:25" ht="15" customHeight="1">
      <c r="N24" s="114" t="s">
        <v>38</v>
      </c>
      <c r="O24" s="117">
        <v>55</v>
      </c>
      <c r="X24" s="114" t="s">
        <v>36</v>
      </c>
      <c r="Y24" s="118">
        <v>4</v>
      </c>
    </row>
    <row r="25" spans="14:25" ht="15" customHeight="1">
      <c r="N25" s="114" t="s">
        <v>57</v>
      </c>
      <c r="O25" s="117">
        <v>54</v>
      </c>
      <c r="X25" s="114" t="s">
        <v>65</v>
      </c>
      <c r="Y25" s="118">
        <v>3</v>
      </c>
    </row>
    <row r="26" spans="14:25" ht="15" customHeight="1">
      <c r="N26" s="114" t="s">
        <v>23</v>
      </c>
      <c r="O26" s="117">
        <v>52</v>
      </c>
      <c r="X26" s="114" t="s">
        <v>57</v>
      </c>
      <c r="Y26" s="118">
        <v>3</v>
      </c>
    </row>
    <row r="27" spans="14:25" ht="15" customHeight="1">
      <c r="N27" s="114" t="s">
        <v>52</v>
      </c>
      <c r="O27" s="117">
        <v>48</v>
      </c>
      <c r="X27" s="114" t="s">
        <v>54</v>
      </c>
      <c r="Y27" s="118">
        <v>3</v>
      </c>
    </row>
    <row r="28" spans="14:25" ht="15" customHeight="1">
      <c r="N28" s="114" t="s">
        <v>39</v>
      </c>
      <c r="O28" s="117">
        <v>48</v>
      </c>
      <c r="X28" s="114" t="s">
        <v>24</v>
      </c>
      <c r="Y28" s="118">
        <v>3</v>
      </c>
    </row>
    <row r="29" spans="14:25" ht="15" customHeight="1">
      <c r="N29" s="114" t="s">
        <v>43</v>
      </c>
      <c r="O29" s="117">
        <v>48</v>
      </c>
      <c r="X29" s="114" t="s">
        <v>45</v>
      </c>
      <c r="Y29" s="118">
        <v>2</v>
      </c>
    </row>
    <row r="30" spans="14:25" ht="15" customHeight="1">
      <c r="N30" s="114" t="s">
        <v>60</v>
      </c>
      <c r="O30" s="117">
        <v>43</v>
      </c>
      <c r="X30" s="114" t="s">
        <v>63</v>
      </c>
      <c r="Y30" s="118">
        <v>2</v>
      </c>
    </row>
    <row r="31" spans="14:25" ht="15" customHeight="1">
      <c r="N31" s="114" t="s">
        <v>58</v>
      </c>
      <c r="O31" s="117">
        <v>40</v>
      </c>
      <c r="X31" s="114" t="s">
        <v>46</v>
      </c>
      <c r="Y31" s="118">
        <v>2</v>
      </c>
    </row>
    <row r="32" spans="14:25" ht="15" customHeight="1">
      <c r="N32" s="114" t="s">
        <v>46</v>
      </c>
      <c r="O32" s="117">
        <v>38</v>
      </c>
      <c r="X32" s="114" t="s">
        <v>42</v>
      </c>
      <c r="Y32" s="118">
        <v>2</v>
      </c>
    </row>
    <row r="33" spans="14:25" ht="15" customHeight="1">
      <c r="N33" s="114" t="s">
        <v>61</v>
      </c>
      <c r="O33" s="117">
        <v>36</v>
      </c>
      <c r="X33" s="114" t="s">
        <v>44</v>
      </c>
      <c r="Y33" s="118">
        <v>2</v>
      </c>
    </row>
    <row r="34" spans="14:25" ht="15" customHeight="1">
      <c r="N34" s="114" t="s">
        <v>40</v>
      </c>
      <c r="O34" s="117">
        <v>36</v>
      </c>
      <c r="X34" s="114" t="s">
        <v>43</v>
      </c>
      <c r="Y34" s="118">
        <v>2</v>
      </c>
    </row>
    <row r="35" spans="14:25" ht="15" customHeight="1">
      <c r="N35" s="114" t="s">
        <v>42</v>
      </c>
      <c r="O35" s="117">
        <v>32</v>
      </c>
      <c r="X35" s="114" t="s">
        <v>23</v>
      </c>
      <c r="Y35" s="118">
        <v>2</v>
      </c>
    </row>
    <row r="36" spans="14:25" ht="15" customHeight="1">
      <c r="N36" s="114" t="s">
        <v>54</v>
      </c>
      <c r="O36" s="117">
        <v>31.5</v>
      </c>
      <c r="X36" s="114" t="s">
        <v>48</v>
      </c>
      <c r="Y36" s="118">
        <v>2</v>
      </c>
    </row>
    <row r="37" spans="14:25" ht="15" customHeight="1">
      <c r="N37" s="114" t="s">
        <v>33</v>
      </c>
      <c r="O37" s="117">
        <v>30</v>
      </c>
      <c r="X37" s="114" t="s">
        <v>40</v>
      </c>
      <c r="Y37" s="118">
        <v>2</v>
      </c>
    </row>
    <row r="38" spans="14:25" ht="15" customHeight="1">
      <c r="N38" s="114" t="s">
        <v>34</v>
      </c>
      <c r="O38" s="117">
        <v>28</v>
      </c>
      <c r="X38" s="114" t="s">
        <v>51</v>
      </c>
      <c r="Y38" s="118">
        <v>2</v>
      </c>
    </row>
    <row r="39" spans="14:25" ht="15" customHeight="1">
      <c r="N39" s="114" t="s">
        <v>48</v>
      </c>
      <c r="O39" s="117">
        <v>26</v>
      </c>
      <c r="X39" s="114" t="s">
        <v>37</v>
      </c>
      <c r="Y39" s="118">
        <v>2</v>
      </c>
    </row>
    <row r="40" spans="14:25" ht="15" customHeight="1">
      <c r="N40" s="114" t="s">
        <v>50</v>
      </c>
      <c r="O40" s="117">
        <v>24</v>
      </c>
      <c r="X40" s="114" t="s">
        <v>56</v>
      </c>
      <c r="Y40" s="118">
        <v>2</v>
      </c>
    </row>
    <row r="41" spans="14:25" ht="15" customHeight="1">
      <c r="N41" s="114" t="s">
        <v>41</v>
      </c>
      <c r="O41" s="117">
        <v>21</v>
      </c>
      <c r="X41" s="114" t="s">
        <v>33</v>
      </c>
      <c r="Y41" s="118">
        <v>2</v>
      </c>
    </row>
    <row r="42" spans="14:25" ht="15" customHeight="1">
      <c r="N42" s="114" t="s">
        <v>59</v>
      </c>
      <c r="O42" s="117">
        <v>20</v>
      </c>
      <c r="X42" s="114" t="s">
        <v>53</v>
      </c>
      <c r="Y42" s="118">
        <v>1</v>
      </c>
    </row>
    <row r="43" spans="14:25" ht="15" customHeight="1">
      <c r="N43" s="114" t="s">
        <v>55</v>
      </c>
      <c r="O43" s="117">
        <v>18.900000000000006</v>
      </c>
      <c r="X43" s="114" t="s">
        <v>61</v>
      </c>
      <c r="Y43" s="118">
        <v>1</v>
      </c>
    </row>
    <row r="44" spans="14:25" ht="15" customHeight="1">
      <c r="N44" s="114" t="s">
        <v>63</v>
      </c>
      <c r="O44" s="117">
        <v>18</v>
      </c>
      <c r="X44" s="114" t="s">
        <v>60</v>
      </c>
      <c r="Y44" s="118">
        <v>1</v>
      </c>
    </row>
    <row r="45" spans="14:25" ht="15" customHeight="1">
      <c r="N45" s="114" t="s">
        <v>35</v>
      </c>
      <c r="O45" s="117">
        <v>14</v>
      </c>
      <c r="X45" s="114" t="s">
        <v>59</v>
      </c>
      <c r="Y45" s="118">
        <v>1</v>
      </c>
    </row>
    <row r="46" spans="14:25" ht="15" customHeight="1">
      <c r="N46" s="114" t="s">
        <v>65</v>
      </c>
      <c r="O46" s="117">
        <v>13.5</v>
      </c>
      <c r="X46" s="114" t="s">
        <v>27</v>
      </c>
      <c r="Y46" s="118">
        <v>1</v>
      </c>
    </row>
    <row r="47" spans="14:25" ht="15" customHeight="1">
      <c r="N47" s="114" t="s">
        <v>29</v>
      </c>
      <c r="O47" s="117">
        <v>12</v>
      </c>
      <c r="X47" s="114" t="s">
        <v>22</v>
      </c>
      <c r="Y47" s="118">
        <v>1</v>
      </c>
    </row>
    <row r="48" spans="14:25" ht="15" customHeight="1">
      <c r="N48" s="114" t="s">
        <v>64</v>
      </c>
      <c r="O48" s="117">
        <v>10.8</v>
      </c>
      <c r="X48" s="114" t="s">
        <v>58</v>
      </c>
      <c r="Y48" s="118">
        <v>1</v>
      </c>
    </row>
    <row r="49" spans="14:25" ht="15" customHeight="1">
      <c r="N49" s="114" t="s">
        <v>26</v>
      </c>
      <c r="O49" s="117">
        <v>7.2000000000000028</v>
      </c>
      <c r="X49" s="114" t="s">
        <v>62</v>
      </c>
      <c r="Y49" s="118">
        <v>1</v>
      </c>
    </row>
    <row r="50" spans="14:25" ht="15" customHeight="1">
      <c r="N50" s="114" t="s">
        <v>106</v>
      </c>
      <c r="O50" s="117">
        <v>3640.4</v>
      </c>
      <c r="X50" s="114" t="s">
        <v>106</v>
      </c>
      <c r="Y50" s="118">
        <v>216</v>
      </c>
    </row>
  </sheetData>
  <pageMargins left="0.7" right="0.7" top="0.75" bottom="0.75" header="0.3" footer="0.3"/>
  <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5EE55-682B-4DB3-9E3A-02784C677D9F}">
  <dimension ref="E2:Z55"/>
  <sheetViews>
    <sheetView workbookViewId="0">
      <selection activeCell="L16" sqref="L16"/>
    </sheetView>
  </sheetViews>
  <sheetFormatPr defaultRowHeight="15"/>
  <cols>
    <col min="5" max="5" width="11.7109375" bestFit="1" customWidth="1"/>
    <col min="6" max="6" width="12.85546875" bestFit="1" customWidth="1"/>
    <col min="14" max="14" width="20" bestFit="1" customWidth="1"/>
    <col min="15" max="15" width="12.85546875" bestFit="1" customWidth="1"/>
    <col min="25" max="25" width="20" bestFit="1" customWidth="1"/>
    <col min="26" max="26" width="10.85546875" bestFit="1" customWidth="1"/>
  </cols>
  <sheetData>
    <row r="2" spans="5:26">
      <c r="E2" s="104" t="s">
        <v>20</v>
      </c>
      <c r="F2" t="s">
        <v>107</v>
      </c>
      <c r="N2" s="104" t="s">
        <v>20</v>
      </c>
      <c r="O2" t="s">
        <v>107</v>
      </c>
      <c r="Y2" s="104" t="s">
        <v>20</v>
      </c>
      <c r="Z2" t="s">
        <v>107</v>
      </c>
    </row>
    <row r="4" spans="5:26">
      <c r="E4" s="113" t="s">
        <v>13</v>
      </c>
      <c r="F4" s="114" t="s">
        <v>103</v>
      </c>
      <c r="N4" s="113" t="s">
        <v>14</v>
      </c>
      <c r="O4" s="114" t="s">
        <v>104</v>
      </c>
      <c r="Y4" s="113" t="s">
        <v>14</v>
      </c>
      <c r="Z4" s="114" t="s">
        <v>105</v>
      </c>
    </row>
    <row r="5" spans="5:26">
      <c r="E5" s="119">
        <v>46244</v>
      </c>
      <c r="F5" s="120">
        <v>326.2</v>
      </c>
      <c r="N5" s="114" t="s">
        <v>79</v>
      </c>
      <c r="O5" s="120">
        <v>270</v>
      </c>
      <c r="Y5" s="114" t="s">
        <v>76</v>
      </c>
      <c r="Z5" s="118">
        <v>39</v>
      </c>
    </row>
    <row r="6" spans="5:26">
      <c r="E6" s="119">
        <v>46245</v>
      </c>
      <c r="F6" s="120">
        <v>327.8</v>
      </c>
      <c r="N6" s="114" t="s">
        <v>30</v>
      </c>
      <c r="O6" s="120">
        <v>200</v>
      </c>
      <c r="Y6" s="114" t="s">
        <v>73</v>
      </c>
      <c r="Z6" s="118">
        <v>23</v>
      </c>
    </row>
    <row r="7" spans="5:26">
      <c r="E7" s="119">
        <v>46246</v>
      </c>
      <c r="F7" s="120">
        <v>607.79999999999995</v>
      </c>
      <c r="N7" s="114" t="s">
        <v>21</v>
      </c>
      <c r="O7" s="120">
        <v>165</v>
      </c>
      <c r="Y7" s="114" t="s">
        <v>81</v>
      </c>
      <c r="Z7" s="118">
        <v>20</v>
      </c>
    </row>
    <row r="8" spans="5:26">
      <c r="E8" s="119">
        <v>46247</v>
      </c>
      <c r="F8" s="120">
        <v>421.00000000000006</v>
      </c>
      <c r="N8" s="114" t="s">
        <v>99</v>
      </c>
      <c r="O8" s="120">
        <v>160</v>
      </c>
      <c r="Y8" s="114" t="s">
        <v>80</v>
      </c>
      <c r="Z8" s="118">
        <v>16</v>
      </c>
    </row>
    <row r="9" spans="5:26">
      <c r="E9" s="119">
        <v>46248</v>
      </c>
      <c r="F9" s="120">
        <v>450.3</v>
      </c>
      <c r="N9" s="114" t="s">
        <v>72</v>
      </c>
      <c r="O9" s="120">
        <v>158.00000000000006</v>
      </c>
      <c r="Y9" s="114" t="s">
        <v>55</v>
      </c>
      <c r="Z9" s="118">
        <v>12</v>
      </c>
    </row>
    <row r="10" spans="5:26">
      <c r="E10" s="119">
        <v>46249</v>
      </c>
      <c r="F10" s="120">
        <v>457.5</v>
      </c>
      <c r="N10" s="114" t="s">
        <v>23</v>
      </c>
      <c r="O10" s="120">
        <v>149</v>
      </c>
      <c r="Y10" s="114" t="s">
        <v>72</v>
      </c>
      <c r="Z10" s="118">
        <v>10</v>
      </c>
    </row>
    <row r="11" spans="5:26">
      <c r="E11" s="119">
        <v>46250</v>
      </c>
      <c r="F11" s="120">
        <v>492.8</v>
      </c>
      <c r="N11" s="114" t="s">
        <v>93</v>
      </c>
      <c r="O11" s="120">
        <v>120</v>
      </c>
      <c r="Y11" s="114" t="s">
        <v>21</v>
      </c>
      <c r="Z11" s="118">
        <v>7</v>
      </c>
    </row>
    <row r="12" spans="5:26">
      <c r="E12" s="114" t="s">
        <v>106</v>
      </c>
      <c r="F12" s="120">
        <v>3083.4</v>
      </c>
      <c r="N12" s="114" t="s">
        <v>54</v>
      </c>
      <c r="O12" s="120">
        <v>94.5</v>
      </c>
      <c r="Y12" s="114" t="s">
        <v>54</v>
      </c>
      <c r="Z12" s="118">
        <v>7</v>
      </c>
    </row>
    <row r="13" spans="5:26">
      <c r="N13" s="114" t="s">
        <v>28</v>
      </c>
      <c r="O13" s="120">
        <v>90</v>
      </c>
      <c r="Y13" s="114" t="s">
        <v>30</v>
      </c>
      <c r="Z13" s="118">
        <v>6</v>
      </c>
    </row>
    <row r="14" spans="5:26">
      <c r="N14" s="114" t="s">
        <v>83</v>
      </c>
      <c r="O14" s="120">
        <v>82</v>
      </c>
      <c r="Y14" s="114" t="s">
        <v>39</v>
      </c>
      <c r="Z14" s="118">
        <v>6</v>
      </c>
    </row>
    <row r="15" spans="5:26">
      <c r="N15" s="114" t="s">
        <v>76</v>
      </c>
      <c r="O15" s="120">
        <v>81.599999999999994</v>
      </c>
      <c r="Y15" s="114" t="s">
        <v>49</v>
      </c>
      <c r="Z15" s="118">
        <v>6</v>
      </c>
    </row>
    <row r="16" spans="5:26">
      <c r="N16" s="114" t="s">
        <v>75</v>
      </c>
      <c r="O16" s="120">
        <v>80</v>
      </c>
      <c r="Y16" s="114" t="s">
        <v>70</v>
      </c>
      <c r="Z16" s="118">
        <v>6</v>
      </c>
    </row>
    <row r="17" spans="14:26">
      <c r="N17" s="114" t="s">
        <v>77</v>
      </c>
      <c r="O17" s="120">
        <v>75</v>
      </c>
      <c r="Y17" s="114" t="s">
        <v>101</v>
      </c>
      <c r="Z17" s="118">
        <v>5</v>
      </c>
    </row>
    <row r="18" spans="14:26">
      <c r="N18" s="114" t="s">
        <v>36</v>
      </c>
      <c r="O18" s="120">
        <v>74</v>
      </c>
      <c r="Y18" s="114" t="s">
        <v>28</v>
      </c>
      <c r="Z18" s="118">
        <v>5</v>
      </c>
    </row>
    <row r="19" spans="14:26">
      <c r="N19" s="114" t="s">
        <v>92</v>
      </c>
      <c r="O19" s="120">
        <v>74</v>
      </c>
      <c r="Y19" s="114" t="s">
        <v>50</v>
      </c>
      <c r="Z19" s="118">
        <v>4</v>
      </c>
    </row>
    <row r="20" spans="14:26">
      <c r="N20" s="114" t="s">
        <v>66</v>
      </c>
      <c r="O20" s="120">
        <v>70</v>
      </c>
      <c r="Y20" s="114" t="s">
        <v>23</v>
      </c>
      <c r="Z20" s="118">
        <v>4</v>
      </c>
    </row>
    <row r="21" spans="14:26">
      <c r="N21" s="114" t="s">
        <v>78</v>
      </c>
      <c r="O21" s="120">
        <v>70</v>
      </c>
      <c r="Y21" s="114" t="s">
        <v>84</v>
      </c>
      <c r="Z21" s="118">
        <v>4</v>
      </c>
    </row>
    <row r="22" spans="14:26">
      <c r="N22" s="114" t="s">
        <v>82</v>
      </c>
      <c r="O22" s="120">
        <v>70</v>
      </c>
      <c r="Y22" s="114" t="s">
        <v>87</v>
      </c>
      <c r="Z22" s="118">
        <v>3</v>
      </c>
    </row>
    <row r="23" spans="14:26">
      <c r="N23" s="114" t="s">
        <v>39</v>
      </c>
      <c r="O23" s="120">
        <v>66</v>
      </c>
      <c r="Y23" s="114" t="s">
        <v>32</v>
      </c>
      <c r="Z23" s="118">
        <v>3</v>
      </c>
    </row>
    <row r="24" spans="14:26">
      <c r="N24" s="114" t="s">
        <v>55</v>
      </c>
      <c r="O24" s="120">
        <v>64.800000000000011</v>
      </c>
      <c r="Y24" s="114" t="s">
        <v>100</v>
      </c>
      <c r="Z24" s="118">
        <v>3</v>
      </c>
    </row>
    <row r="25" spans="14:26">
      <c r="N25" s="114" t="s">
        <v>87</v>
      </c>
      <c r="O25" s="120">
        <v>62</v>
      </c>
      <c r="Y25" s="114" t="s">
        <v>79</v>
      </c>
      <c r="Z25" s="118">
        <v>3</v>
      </c>
    </row>
    <row r="26" spans="14:26">
      <c r="N26" s="114" t="s">
        <v>81</v>
      </c>
      <c r="O26" s="120">
        <v>60</v>
      </c>
      <c r="Y26" s="114" t="s">
        <v>77</v>
      </c>
      <c r="Z26" s="118">
        <v>3</v>
      </c>
    </row>
    <row r="27" spans="14:26">
      <c r="N27" s="114" t="s">
        <v>37</v>
      </c>
      <c r="O27" s="120">
        <v>56</v>
      </c>
      <c r="Y27" s="114" t="s">
        <v>90</v>
      </c>
      <c r="Z27" s="118">
        <v>2</v>
      </c>
    </row>
    <row r="28" spans="14:26">
      <c r="N28" s="114" t="s">
        <v>73</v>
      </c>
      <c r="O28" s="120">
        <v>50</v>
      </c>
      <c r="Y28" s="114" t="s">
        <v>96</v>
      </c>
      <c r="Z28" s="118">
        <v>2</v>
      </c>
    </row>
    <row r="29" spans="14:26">
      <c r="N29" s="114" t="s">
        <v>94</v>
      </c>
      <c r="O29" s="120">
        <v>45</v>
      </c>
      <c r="Y29" s="114" t="s">
        <v>91</v>
      </c>
      <c r="Z29" s="118">
        <v>2</v>
      </c>
    </row>
    <row r="30" spans="14:26">
      <c r="N30" s="114" t="s">
        <v>97</v>
      </c>
      <c r="O30" s="120">
        <v>42</v>
      </c>
      <c r="Y30" s="114" t="s">
        <v>67</v>
      </c>
      <c r="Z30" s="118">
        <v>2</v>
      </c>
    </row>
    <row r="31" spans="14:26">
      <c r="N31" s="114" t="s">
        <v>49</v>
      </c>
      <c r="O31" s="120">
        <v>39</v>
      </c>
      <c r="Y31" s="114" t="s">
        <v>86</v>
      </c>
      <c r="Z31" s="118">
        <v>2</v>
      </c>
    </row>
    <row r="32" spans="14:26">
      <c r="N32" s="114" t="s">
        <v>96</v>
      </c>
      <c r="O32" s="120">
        <v>39</v>
      </c>
      <c r="Y32" s="114" t="s">
        <v>74</v>
      </c>
      <c r="Z32" s="118">
        <v>2</v>
      </c>
    </row>
    <row r="33" spans="14:26">
      <c r="N33" s="114" t="s">
        <v>69</v>
      </c>
      <c r="O33" s="120">
        <v>36</v>
      </c>
      <c r="Y33" s="114" t="s">
        <v>89</v>
      </c>
      <c r="Z33" s="118">
        <v>2</v>
      </c>
    </row>
    <row r="34" spans="14:26">
      <c r="N34" s="114" t="s">
        <v>91</v>
      </c>
      <c r="O34" s="120">
        <v>36</v>
      </c>
      <c r="Y34" s="114" t="s">
        <v>83</v>
      </c>
      <c r="Z34" s="118">
        <v>2</v>
      </c>
    </row>
    <row r="35" spans="14:26">
      <c r="N35" s="114" t="s">
        <v>89</v>
      </c>
      <c r="O35" s="120">
        <v>34</v>
      </c>
      <c r="Y35" s="114" t="s">
        <v>75</v>
      </c>
      <c r="Z35" s="118">
        <v>2</v>
      </c>
    </row>
    <row r="36" spans="14:26">
      <c r="N36" s="114" t="s">
        <v>32</v>
      </c>
      <c r="O36" s="120">
        <v>33</v>
      </c>
      <c r="Y36" s="114" t="s">
        <v>37</v>
      </c>
      <c r="Z36" s="118">
        <v>2</v>
      </c>
    </row>
    <row r="37" spans="14:26">
      <c r="N37" s="114" t="s">
        <v>84</v>
      </c>
      <c r="O37" s="120">
        <v>32</v>
      </c>
      <c r="Y37" s="114" t="s">
        <v>85</v>
      </c>
      <c r="Z37" s="118">
        <v>2</v>
      </c>
    </row>
    <row r="38" spans="14:26">
      <c r="N38" s="114" t="s">
        <v>95</v>
      </c>
      <c r="O38" s="120">
        <v>28</v>
      </c>
      <c r="Y38" s="114" t="s">
        <v>98</v>
      </c>
      <c r="Z38" s="118">
        <v>2</v>
      </c>
    </row>
    <row r="39" spans="14:26">
      <c r="N39" s="114" t="s">
        <v>33</v>
      </c>
      <c r="O39" s="120">
        <v>26</v>
      </c>
      <c r="Y39" s="114" t="s">
        <v>82</v>
      </c>
      <c r="Z39" s="118">
        <v>2</v>
      </c>
    </row>
    <row r="40" spans="14:26">
      <c r="N40" s="114" t="s">
        <v>90</v>
      </c>
      <c r="O40" s="120">
        <v>25</v>
      </c>
      <c r="Y40" s="114" t="s">
        <v>92</v>
      </c>
      <c r="Z40" s="118">
        <v>2</v>
      </c>
    </row>
    <row r="41" spans="14:26">
      <c r="N41" s="114" t="s">
        <v>67</v>
      </c>
      <c r="O41" s="120">
        <v>23</v>
      </c>
      <c r="Y41" s="114" t="s">
        <v>99</v>
      </c>
      <c r="Z41" s="118">
        <v>1</v>
      </c>
    </row>
    <row r="42" spans="14:26">
      <c r="N42" s="114" t="s">
        <v>101</v>
      </c>
      <c r="O42" s="120">
        <v>20</v>
      </c>
      <c r="Y42" s="114" t="s">
        <v>36</v>
      </c>
      <c r="Z42" s="118">
        <v>1</v>
      </c>
    </row>
    <row r="43" spans="14:26">
      <c r="N43" s="114" t="s">
        <v>74</v>
      </c>
      <c r="O43" s="120">
        <v>20</v>
      </c>
      <c r="Y43" s="114" t="s">
        <v>78</v>
      </c>
      <c r="Z43" s="118">
        <v>1</v>
      </c>
    </row>
    <row r="44" spans="14:26">
      <c r="N44" s="114" t="s">
        <v>71</v>
      </c>
      <c r="O44" s="120">
        <v>19</v>
      </c>
      <c r="Y44" s="114" t="s">
        <v>29</v>
      </c>
      <c r="Z44" s="118">
        <v>1</v>
      </c>
    </row>
    <row r="45" spans="14:26">
      <c r="N45" s="114" t="s">
        <v>88</v>
      </c>
      <c r="O45" s="120">
        <v>18</v>
      </c>
      <c r="Y45" s="114" t="s">
        <v>33</v>
      </c>
      <c r="Z45" s="118">
        <v>1</v>
      </c>
    </row>
    <row r="46" spans="14:26">
      <c r="N46" s="114" t="s">
        <v>86</v>
      </c>
      <c r="O46" s="120">
        <v>17</v>
      </c>
      <c r="Y46" s="114" t="s">
        <v>69</v>
      </c>
      <c r="Z46" s="118">
        <v>1</v>
      </c>
    </row>
    <row r="47" spans="14:26">
      <c r="N47" s="114" t="s">
        <v>98</v>
      </c>
      <c r="O47" s="120">
        <v>16.200000000000003</v>
      </c>
      <c r="Y47" s="114" t="s">
        <v>66</v>
      </c>
      <c r="Z47" s="118">
        <v>1</v>
      </c>
    </row>
    <row r="48" spans="14:26">
      <c r="N48" s="114" t="s">
        <v>70</v>
      </c>
      <c r="O48" s="120">
        <v>16.200000000000003</v>
      </c>
      <c r="Y48" s="114" t="s">
        <v>71</v>
      </c>
      <c r="Z48" s="118">
        <v>1</v>
      </c>
    </row>
    <row r="49" spans="14:26">
      <c r="N49" s="114" t="s">
        <v>100</v>
      </c>
      <c r="O49" s="120">
        <v>15.599999999999998</v>
      </c>
      <c r="Y49" s="114" t="s">
        <v>95</v>
      </c>
      <c r="Z49" s="118">
        <v>1</v>
      </c>
    </row>
    <row r="50" spans="14:26">
      <c r="N50" s="114" t="s">
        <v>80</v>
      </c>
      <c r="O50" s="120">
        <v>14.000000000000007</v>
      </c>
      <c r="Y50" s="114" t="s">
        <v>93</v>
      </c>
      <c r="Z50" s="118">
        <v>1</v>
      </c>
    </row>
    <row r="51" spans="14:26">
      <c r="N51" s="114" t="s">
        <v>85</v>
      </c>
      <c r="O51" s="120">
        <v>14</v>
      </c>
      <c r="Y51" s="114" t="s">
        <v>97</v>
      </c>
      <c r="Z51" s="118">
        <v>1</v>
      </c>
    </row>
    <row r="52" spans="14:26">
      <c r="N52" s="114" t="s">
        <v>29</v>
      </c>
      <c r="O52" s="120">
        <v>12.5</v>
      </c>
      <c r="Y52" s="114" t="s">
        <v>88</v>
      </c>
      <c r="Z52" s="118">
        <v>1</v>
      </c>
    </row>
    <row r="53" spans="14:26">
      <c r="N53" s="114" t="s">
        <v>50</v>
      </c>
      <c r="O53" s="120">
        <v>12</v>
      </c>
      <c r="Y53" s="114" t="s">
        <v>68</v>
      </c>
      <c r="Z53" s="118">
        <v>1</v>
      </c>
    </row>
    <row r="54" spans="14:26">
      <c r="N54" s="114" t="s">
        <v>68</v>
      </c>
      <c r="O54" s="120">
        <v>9</v>
      </c>
      <c r="Y54" s="114" t="s">
        <v>94</v>
      </c>
      <c r="Z54" s="118">
        <v>1</v>
      </c>
    </row>
    <row r="55" spans="14:26">
      <c r="N55" s="114" t="s">
        <v>106</v>
      </c>
      <c r="O55" s="120">
        <v>3083.3999999999996</v>
      </c>
      <c r="Y55" s="114" t="s">
        <v>106</v>
      </c>
      <c r="Z55" s="118">
        <v>237</v>
      </c>
    </row>
  </sheetData>
  <pageMargins left="0.7" right="0.7" top="0.75" bottom="0.75" header="0.3" footer="0.3"/>
  <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BA6D1-7A46-4C74-B3A5-B1589CF6AF17}">
  <dimension ref="B2:BO77"/>
  <sheetViews>
    <sheetView tabSelected="1" topLeftCell="M1" workbookViewId="0">
      <selection activeCell="AH19" sqref="AH19"/>
    </sheetView>
  </sheetViews>
  <sheetFormatPr defaultRowHeight="15"/>
  <sheetData>
    <row r="2" spans="2:67">
      <c r="B2" s="81" t="s">
        <v>108</v>
      </c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3"/>
    </row>
    <row r="3" spans="2:67">
      <c r="B3" s="84"/>
      <c r="C3" s="85"/>
      <c r="D3" s="85"/>
      <c r="E3" s="85"/>
      <c r="F3" s="85"/>
      <c r="G3" s="85"/>
      <c r="H3" s="85"/>
      <c r="I3" s="85"/>
      <c r="J3" s="85"/>
      <c r="K3" s="85"/>
      <c r="L3" s="85"/>
      <c r="M3" s="85"/>
      <c r="N3" s="85"/>
      <c r="O3" s="85"/>
      <c r="P3" s="85"/>
      <c r="Q3" s="85"/>
      <c r="R3" s="86"/>
    </row>
    <row r="4" spans="2:67">
      <c r="B4" s="84"/>
      <c r="C4" s="85"/>
      <c r="D4" s="85"/>
      <c r="E4" s="85"/>
      <c r="F4" s="85"/>
      <c r="G4" s="85"/>
      <c r="H4" s="85"/>
      <c r="I4" s="85"/>
      <c r="J4" s="85"/>
      <c r="K4" s="85"/>
      <c r="L4" s="85"/>
      <c r="M4" s="85"/>
      <c r="N4" s="85"/>
      <c r="O4" s="85"/>
      <c r="P4" s="85"/>
      <c r="Q4" s="85"/>
      <c r="R4" s="86"/>
    </row>
    <row r="5" spans="2:67">
      <c r="B5" s="84"/>
      <c r="C5" s="85"/>
      <c r="D5" s="85"/>
      <c r="E5" s="85"/>
      <c r="F5" s="85"/>
      <c r="G5" s="85"/>
      <c r="H5" s="85"/>
      <c r="I5" s="85"/>
      <c r="J5" s="85"/>
      <c r="K5" s="85"/>
      <c r="L5" s="85"/>
      <c r="M5" s="85"/>
      <c r="N5" s="85"/>
      <c r="O5" s="85"/>
      <c r="P5" s="85"/>
      <c r="Q5" s="85"/>
      <c r="R5" s="86"/>
    </row>
    <row r="6" spans="2:67">
      <c r="B6" s="84"/>
      <c r="C6" s="85"/>
      <c r="D6" s="85"/>
      <c r="E6" s="85"/>
      <c r="F6" s="85"/>
      <c r="G6" s="85"/>
      <c r="H6" s="85"/>
      <c r="I6" s="85"/>
      <c r="J6" s="85"/>
      <c r="K6" s="85"/>
      <c r="L6" s="85"/>
      <c r="M6" s="85"/>
      <c r="N6" s="85"/>
      <c r="O6" s="85"/>
      <c r="P6" s="85"/>
      <c r="Q6" s="85"/>
      <c r="R6" s="86"/>
    </row>
    <row r="7" spans="2:67">
      <c r="B7" s="87"/>
      <c r="C7" s="88"/>
      <c r="D7" s="88"/>
      <c r="E7" s="88"/>
      <c r="F7" s="88"/>
      <c r="G7" s="88"/>
      <c r="H7" s="88"/>
      <c r="I7" s="88"/>
      <c r="J7" s="88"/>
      <c r="K7" s="88"/>
      <c r="L7" s="88"/>
      <c r="M7" s="88"/>
      <c r="N7" s="88"/>
      <c r="O7" s="88"/>
      <c r="P7" s="88"/>
      <c r="Q7" s="88"/>
      <c r="R7" s="89"/>
    </row>
    <row r="10" spans="2:67" ht="15" customHeight="1">
      <c r="B10" s="72" t="s">
        <v>109</v>
      </c>
      <c r="C10" s="73"/>
      <c r="D10" s="74"/>
      <c r="E10" s="72" t="s">
        <v>110</v>
      </c>
      <c r="F10" s="73"/>
      <c r="G10" s="74"/>
      <c r="H10" s="72" t="s">
        <v>111</v>
      </c>
      <c r="I10" s="73"/>
      <c r="J10" s="74"/>
      <c r="K10" s="72" t="s">
        <v>112</v>
      </c>
      <c r="L10" s="73"/>
      <c r="M10" s="74"/>
      <c r="N10" s="72" t="s">
        <v>113</v>
      </c>
      <c r="O10" s="73"/>
      <c r="P10" s="74"/>
      <c r="S10" s="72" t="s">
        <v>114</v>
      </c>
      <c r="T10" s="73"/>
      <c r="U10" s="74"/>
      <c r="V10" s="72" t="s">
        <v>115</v>
      </c>
      <c r="W10" s="73"/>
      <c r="X10" s="74"/>
      <c r="Y10" s="72" t="s">
        <v>116</v>
      </c>
      <c r="Z10" s="73"/>
      <c r="AA10" s="74"/>
      <c r="AB10" s="72" t="s">
        <v>117</v>
      </c>
      <c r="AC10" s="73"/>
      <c r="AD10" s="74"/>
      <c r="AE10" s="72" t="s">
        <v>118</v>
      </c>
      <c r="AF10" s="73"/>
      <c r="AG10" s="74"/>
      <c r="AJ10" s="72" t="s">
        <v>119</v>
      </c>
      <c r="AK10" s="73"/>
      <c r="AL10" s="74"/>
      <c r="AM10" s="72" t="s">
        <v>120</v>
      </c>
      <c r="AN10" s="73"/>
      <c r="AO10" s="74"/>
      <c r="AP10" s="72" t="s">
        <v>121</v>
      </c>
      <c r="AQ10" s="73"/>
      <c r="AR10" s="74"/>
      <c r="AS10" s="72" t="s">
        <v>122</v>
      </c>
      <c r="AT10" s="73"/>
      <c r="AU10" s="74"/>
      <c r="AV10" s="72" t="s">
        <v>123</v>
      </c>
      <c r="AW10" s="73"/>
      <c r="AX10" s="74"/>
      <c r="BA10" s="72" t="s">
        <v>124</v>
      </c>
      <c r="BB10" s="73"/>
      <c r="BC10" s="74"/>
      <c r="BD10" s="72" t="s">
        <v>120</v>
      </c>
      <c r="BE10" s="73"/>
      <c r="BF10" s="74"/>
      <c r="BG10" s="72" t="s">
        <v>121</v>
      </c>
      <c r="BH10" s="73"/>
      <c r="BI10" s="74"/>
      <c r="BJ10" s="72" t="s">
        <v>122</v>
      </c>
      <c r="BK10" s="73"/>
      <c r="BL10" s="74"/>
      <c r="BM10" s="72" t="s">
        <v>123</v>
      </c>
      <c r="BN10" s="73"/>
      <c r="BO10" s="74"/>
    </row>
    <row r="11" spans="2:67" ht="15" customHeight="1">
      <c r="B11" s="75"/>
      <c r="C11" s="76"/>
      <c r="D11" s="77"/>
      <c r="E11" s="75"/>
      <c r="F11" s="76"/>
      <c r="G11" s="77"/>
      <c r="H11" s="75"/>
      <c r="I11" s="76"/>
      <c r="J11" s="77"/>
      <c r="K11" s="75"/>
      <c r="L11" s="76"/>
      <c r="M11" s="77"/>
      <c r="N11" s="75"/>
      <c r="O11" s="76"/>
      <c r="P11" s="77"/>
      <c r="S11" s="75"/>
      <c r="T11" s="76"/>
      <c r="U11" s="77"/>
      <c r="V11" s="75"/>
      <c r="W11" s="76"/>
      <c r="X11" s="77"/>
      <c r="Y11" s="75"/>
      <c r="Z11" s="76"/>
      <c r="AA11" s="77"/>
      <c r="AB11" s="75"/>
      <c r="AC11" s="76"/>
      <c r="AD11" s="77"/>
      <c r="AE11" s="75"/>
      <c r="AF11" s="76"/>
      <c r="AG11" s="77"/>
      <c r="AJ11" s="75"/>
      <c r="AK11" s="76"/>
      <c r="AL11" s="77"/>
      <c r="AM11" s="75"/>
      <c r="AN11" s="76"/>
      <c r="AO11" s="77"/>
      <c r="AP11" s="75"/>
      <c r="AQ11" s="76"/>
      <c r="AR11" s="77"/>
      <c r="AS11" s="75"/>
      <c r="AT11" s="76"/>
      <c r="AU11" s="77"/>
      <c r="AV11" s="75"/>
      <c r="AW11" s="76"/>
      <c r="AX11" s="77"/>
      <c r="BA11" s="75"/>
      <c r="BB11" s="76"/>
      <c r="BC11" s="77"/>
      <c r="BD11" s="75"/>
      <c r="BE11" s="76"/>
      <c r="BF11" s="77"/>
      <c r="BG11" s="75"/>
      <c r="BH11" s="76"/>
      <c r="BI11" s="77"/>
      <c r="BJ11" s="75"/>
      <c r="BK11" s="76"/>
      <c r="BL11" s="77"/>
      <c r="BM11" s="75"/>
      <c r="BN11" s="76"/>
      <c r="BO11" s="77"/>
    </row>
    <row r="12" spans="2:67" ht="15" customHeight="1">
      <c r="B12" s="75"/>
      <c r="C12" s="76"/>
      <c r="D12" s="77"/>
      <c r="E12" s="75"/>
      <c r="F12" s="76"/>
      <c r="G12" s="77"/>
      <c r="H12" s="75"/>
      <c r="I12" s="76"/>
      <c r="J12" s="77"/>
      <c r="K12" s="75"/>
      <c r="L12" s="76"/>
      <c r="M12" s="77"/>
      <c r="N12" s="75"/>
      <c r="O12" s="76"/>
      <c r="P12" s="77"/>
      <c r="S12" s="75"/>
      <c r="T12" s="76"/>
      <c r="U12" s="77"/>
      <c r="V12" s="75"/>
      <c r="W12" s="76"/>
      <c r="X12" s="77"/>
      <c r="Y12" s="75"/>
      <c r="Z12" s="76"/>
      <c r="AA12" s="77"/>
      <c r="AB12" s="75"/>
      <c r="AC12" s="76"/>
      <c r="AD12" s="77"/>
      <c r="AE12" s="75"/>
      <c r="AF12" s="76"/>
      <c r="AG12" s="77"/>
      <c r="AJ12" s="75"/>
      <c r="AK12" s="76"/>
      <c r="AL12" s="77"/>
      <c r="AM12" s="75"/>
      <c r="AN12" s="76"/>
      <c r="AO12" s="77"/>
      <c r="AP12" s="75"/>
      <c r="AQ12" s="76"/>
      <c r="AR12" s="77"/>
      <c r="AS12" s="75"/>
      <c r="AT12" s="76"/>
      <c r="AU12" s="77"/>
      <c r="AV12" s="75"/>
      <c r="AW12" s="76"/>
      <c r="AX12" s="77"/>
      <c r="BA12" s="75"/>
      <c r="BB12" s="76"/>
      <c r="BC12" s="77"/>
      <c r="BD12" s="75"/>
      <c r="BE12" s="76"/>
      <c r="BF12" s="77"/>
      <c r="BG12" s="75"/>
      <c r="BH12" s="76"/>
      <c r="BI12" s="77"/>
      <c r="BJ12" s="75"/>
      <c r="BK12" s="76"/>
      <c r="BL12" s="77"/>
      <c r="BM12" s="75"/>
      <c r="BN12" s="76"/>
      <c r="BO12" s="77"/>
    </row>
    <row r="13" spans="2:67" ht="15" customHeight="1">
      <c r="B13" s="78"/>
      <c r="C13" s="90"/>
      <c r="D13" s="91"/>
      <c r="E13" s="92"/>
      <c r="F13" s="90"/>
      <c r="G13" s="91"/>
      <c r="H13" s="92"/>
      <c r="I13" s="90"/>
      <c r="J13" s="91"/>
      <c r="K13" s="92"/>
      <c r="L13" s="90"/>
      <c r="M13" s="91"/>
      <c r="N13" s="92"/>
      <c r="O13" s="90"/>
      <c r="P13" s="80"/>
      <c r="S13" s="78"/>
      <c r="T13" s="79"/>
      <c r="U13" s="80"/>
      <c r="V13" s="78"/>
      <c r="W13" s="79"/>
      <c r="X13" s="80"/>
      <c r="Y13" s="78"/>
      <c r="Z13" s="79"/>
      <c r="AA13" s="80"/>
      <c r="AB13" s="78"/>
      <c r="AC13" s="79"/>
      <c r="AD13" s="80"/>
      <c r="AE13" s="78"/>
      <c r="AF13" s="79"/>
      <c r="AG13" s="80"/>
      <c r="AJ13" s="78"/>
      <c r="AK13" s="79"/>
      <c r="AL13" s="80"/>
      <c r="AM13" s="78"/>
      <c r="AN13" s="79"/>
      <c r="AO13" s="80"/>
      <c r="AP13" s="78"/>
      <c r="AQ13" s="79"/>
      <c r="AR13" s="80"/>
      <c r="AS13" s="78"/>
      <c r="AT13" s="79"/>
      <c r="AU13" s="80"/>
      <c r="AV13" s="78"/>
      <c r="AW13" s="79"/>
      <c r="AX13" s="80"/>
      <c r="BA13" s="78"/>
      <c r="BB13" s="79"/>
      <c r="BC13" s="80"/>
      <c r="BD13" s="78"/>
      <c r="BE13" s="79"/>
      <c r="BF13" s="80"/>
      <c r="BG13" s="78"/>
      <c r="BH13" s="79"/>
      <c r="BI13" s="80"/>
      <c r="BJ13" s="78"/>
      <c r="BK13" s="79"/>
      <c r="BL13" s="80"/>
      <c r="BM13" s="78"/>
      <c r="BN13" s="79"/>
      <c r="BO13" s="80"/>
    </row>
    <row r="14" spans="2:67">
      <c r="C14" s="63"/>
      <c r="D14" s="64"/>
      <c r="E14" s="64"/>
      <c r="F14" s="64"/>
      <c r="G14" s="64"/>
      <c r="H14" s="64"/>
      <c r="I14" s="64"/>
      <c r="J14" s="64"/>
      <c r="K14" s="64"/>
      <c r="L14" s="64"/>
      <c r="M14" s="64"/>
      <c r="N14" s="64"/>
      <c r="O14" s="65"/>
      <c r="T14" s="63"/>
      <c r="U14" s="64"/>
      <c r="V14" s="64"/>
      <c r="W14" s="64"/>
      <c r="X14" s="64"/>
      <c r="Y14" s="64"/>
      <c r="Z14" s="64"/>
      <c r="AA14" s="64"/>
      <c r="AB14" s="64"/>
      <c r="AC14" s="64"/>
      <c r="AD14" s="64"/>
      <c r="AE14" s="64"/>
      <c r="AF14" s="65"/>
      <c r="AK14" s="63"/>
      <c r="AL14" s="64"/>
      <c r="AM14" s="64"/>
      <c r="AN14" s="64"/>
      <c r="AO14" s="64"/>
      <c r="AP14" s="64"/>
      <c r="AQ14" s="64"/>
      <c r="AR14" s="64"/>
      <c r="AS14" s="64"/>
      <c r="AT14" s="64"/>
      <c r="AU14" s="64"/>
      <c r="AV14" s="64"/>
      <c r="AW14" s="65"/>
      <c r="BB14" s="63"/>
      <c r="BC14" s="64"/>
      <c r="BD14" s="64"/>
      <c r="BE14" s="64"/>
      <c r="BF14" s="64"/>
      <c r="BG14" s="64"/>
      <c r="BH14" s="64"/>
      <c r="BI14" s="64"/>
      <c r="BJ14" s="64"/>
      <c r="BK14" s="64"/>
      <c r="BL14" s="64"/>
      <c r="BM14" s="64"/>
      <c r="BN14" s="65"/>
    </row>
    <row r="15" spans="2:67">
      <c r="C15" s="66"/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8"/>
      <c r="T15" s="66"/>
      <c r="U15" s="67"/>
      <c r="V15" s="67"/>
      <c r="W15" s="67"/>
      <c r="X15" s="67"/>
      <c r="Y15" s="67"/>
      <c r="Z15" s="67"/>
      <c r="AA15" s="67"/>
      <c r="AB15" s="67"/>
      <c r="AC15" s="67"/>
      <c r="AD15" s="67"/>
      <c r="AE15" s="67"/>
      <c r="AF15" s="68"/>
      <c r="AK15" s="66"/>
      <c r="AL15" s="67"/>
      <c r="AM15" s="67"/>
      <c r="AN15" s="67"/>
      <c r="AO15" s="67"/>
      <c r="AP15" s="67"/>
      <c r="AQ15" s="67"/>
      <c r="AR15" s="67"/>
      <c r="AS15" s="67"/>
      <c r="AT15" s="67"/>
      <c r="AU15" s="67"/>
      <c r="AV15" s="67"/>
      <c r="AW15" s="68"/>
      <c r="BB15" s="66"/>
      <c r="BC15" s="67"/>
      <c r="BD15" s="67"/>
      <c r="BE15" s="67"/>
      <c r="BF15" s="67"/>
      <c r="BG15" s="67"/>
      <c r="BH15" s="67"/>
      <c r="BI15" s="67"/>
      <c r="BJ15" s="67"/>
      <c r="BK15" s="67"/>
      <c r="BL15" s="67"/>
      <c r="BM15" s="67"/>
      <c r="BN15" s="68"/>
    </row>
    <row r="16" spans="2:67">
      <c r="C16" s="66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8"/>
      <c r="T16" s="66"/>
      <c r="U16" s="67"/>
      <c r="V16" s="67"/>
      <c r="W16" s="67"/>
      <c r="X16" s="67"/>
      <c r="Y16" s="67"/>
      <c r="Z16" s="67"/>
      <c r="AA16" s="67"/>
      <c r="AB16" s="67"/>
      <c r="AC16" s="67"/>
      <c r="AD16" s="67"/>
      <c r="AE16" s="67"/>
      <c r="AF16" s="68"/>
      <c r="AK16" s="66"/>
      <c r="AL16" s="67"/>
      <c r="AM16" s="67"/>
      <c r="AN16" s="67"/>
      <c r="AO16" s="67"/>
      <c r="AP16" s="67"/>
      <c r="AQ16" s="67"/>
      <c r="AR16" s="67"/>
      <c r="AS16" s="67"/>
      <c r="AT16" s="67"/>
      <c r="AU16" s="67"/>
      <c r="AV16" s="67"/>
      <c r="AW16" s="68"/>
      <c r="BB16" s="66"/>
      <c r="BC16" s="67"/>
      <c r="BD16" s="67"/>
      <c r="BE16" s="67"/>
      <c r="BF16" s="67"/>
      <c r="BG16" s="67"/>
      <c r="BH16" s="67"/>
      <c r="BI16" s="67"/>
      <c r="BJ16" s="67"/>
      <c r="BK16" s="67"/>
      <c r="BL16" s="67"/>
      <c r="BM16" s="67"/>
      <c r="BN16" s="68"/>
    </row>
    <row r="17" spans="3:66">
      <c r="C17" s="66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8"/>
      <c r="T17" s="66"/>
      <c r="U17" s="67"/>
      <c r="V17" s="67"/>
      <c r="W17" s="67"/>
      <c r="X17" s="67"/>
      <c r="Y17" s="67"/>
      <c r="Z17" s="67"/>
      <c r="AA17" s="67"/>
      <c r="AB17" s="67"/>
      <c r="AC17" s="67"/>
      <c r="AD17" s="67"/>
      <c r="AE17" s="67"/>
      <c r="AF17" s="68"/>
      <c r="AK17" s="66"/>
      <c r="AL17" s="67"/>
      <c r="AM17" s="67"/>
      <c r="AN17" s="67"/>
      <c r="AO17" s="67"/>
      <c r="AP17" s="67"/>
      <c r="AQ17" s="67"/>
      <c r="AR17" s="67"/>
      <c r="AS17" s="67"/>
      <c r="AT17" s="67"/>
      <c r="AU17" s="67"/>
      <c r="AV17" s="67"/>
      <c r="AW17" s="68"/>
      <c r="BB17" s="66"/>
      <c r="BC17" s="67"/>
      <c r="BD17" s="67"/>
      <c r="BE17" s="67"/>
      <c r="BF17" s="67"/>
      <c r="BG17" s="67"/>
      <c r="BH17" s="67"/>
      <c r="BI17" s="67"/>
      <c r="BJ17" s="67"/>
      <c r="BK17" s="67"/>
      <c r="BL17" s="67"/>
      <c r="BM17" s="67"/>
      <c r="BN17" s="68"/>
    </row>
    <row r="18" spans="3:66">
      <c r="C18" s="66"/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8"/>
      <c r="T18" s="66"/>
      <c r="U18" s="67"/>
      <c r="V18" s="67"/>
      <c r="W18" s="67"/>
      <c r="X18" s="67"/>
      <c r="Y18" s="67"/>
      <c r="Z18" s="67"/>
      <c r="AA18" s="67"/>
      <c r="AB18" s="67"/>
      <c r="AC18" s="67"/>
      <c r="AD18" s="67"/>
      <c r="AE18" s="67"/>
      <c r="AF18" s="68"/>
      <c r="AK18" s="66"/>
      <c r="AL18" s="67"/>
      <c r="AM18" s="67"/>
      <c r="AN18" s="67"/>
      <c r="AO18" s="67"/>
      <c r="AP18" s="67"/>
      <c r="AQ18" s="67"/>
      <c r="AR18" s="67"/>
      <c r="AS18" s="67"/>
      <c r="AT18" s="67"/>
      <c r="AU18" s="67"/>
      <c r="AV18" s="67"/>
      <c r="AW18" s="68"/>
      <c r="BB18" s="66"/>
      <c r="BC18" s="67"/>
      <c r="BD18" s="67"/>
      <c r="BE18" s="67"/>
      <c r="BF18" s="67"/>
      <c r="BG18" s="67"/>
      <c r="BH18" s="67"/>
      <c r="BI18" s="67"/>
      <c r="BJ18" s="67"/>
      <c r="BK18" s="67"/>
      <c r="BL18" s="67"/>
      <c r="BM18" s="67"/>
      <c r="BN18" s="68"/>
    </row>
    <row r="19" spans="3:66">
      <c r="C19" s="66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8"/>
      <c r="T19" s="66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8"/>
      <c r="AK19" s="66"/>
      <c r="AL19" s="67"/>
      <c r="AM19" s="67"/>
      <c r="AN19" s="67"/>
      <c r="AO19" s="67"/>
      <c r="AP19" s="67"/>
      <c r="AQ19" s="67"/>
      <c r="AR19" s="67"/>
      <c r="AS19" s="67"/>
      <c r="AT19" s="67"/>
      <c r="AU19" s="67"/>
      <c r="AV19" s="67"/>
      <c r="AW19" s="68"/>
      <c r="BB19" s="66"/>
      <c r="BC19" s="67"/>
      <c r="BD19" s="67"/>
      <c r="BE19" s="67"/>
      <c r="BF19" s="67"/>
      <c r="BG19" s="67"/>
      <c r="BH19" s="67"/>
      <c r="BI19" s="67"/>
      <c r="BJ19" s="67"/>
      <c r="BK19" s="67"/>
      <c r="BL19" s="67"/>
      <c r="BM19" s="67"/>
      <c r="BN19" s="68"/>
    </row>
    <row r="20" spans="3:66">
      <c r="C20" s="66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8"/>
      <c r="T20" s="66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8"/>
      <c r="AK20" s="66"/>
      <c r="AL20" s="67"/>
      <c r="AM20" s="67"/>
      <c r="AN20" s="67"/>
      <c r="AO20" s="67"/>
      <c r="AP20" s="67"/>
      <c r="AQ20" s="67"/>
      <c r="AR20" s="67"/>
      <c r="AS20" s="67"/>
      <c r="AT20" s="67"/>
      <c r="AU20" s="67"/>
      <c r="AV20" s="67"/>
      <c r="AW20" s="68"/>
      <c r="BB20" s="66"/>
      <c r="BC20" s="67"/>
      <c r="BD20" s="67"/>
      <c r="BE20" s="67"/>
      <c r="BF20" s="67"/>
      <c r="BG20" s="67"/>
      <c r="BH20" s="67"/>
      <c r="BI20" s="67"/>
      <c r="BJ20" s="67"/>
      <c r="BK20" s="67"/>
      <c r="BL20" s="67"/>
      <c r="BM20" s="67"/>
      <c r="BN20" s="68"/>
    </row>
    <row r="21" spans="3:66">
      <c r="C21" s="66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8"/>
      <c r="T21" s="66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8"/>
      <c r="AK21" s="66"/>
      <c r="AL21" s="67"/>
      <c r="AM21" s="67"/>
      <c r="AN21" s="67"/>
      <c r="AO21" s="67"/>
      <c r="AP21" s="67"/>
      <c r="AQ21" s="67"/>
      <c r="AR21" s="67"/>
      <c r="AS21" s="67"/>
      <c r="AT21" s="67"/>
      <c r="AU21" s="67"/>
      <c r="AV21" s="67"/>
      <c r="AW21" s="68"/>
      <c r="BB21" s="66"/>
      <c r="BC21" s="67"/>
      <c r="BD21" s="67"/>
      <c r="BE21" s="67"/>
      <c r="BF21" s="67"/>
      <c r="BG21" s="67"/>
      <c r="BH21" s="67"/>
      <c r="BI21" s="67"/>
      <c r="BJ21" s="67"/>
      <c r="BK21" s="67"/>
      <c r="BL21" s="67"/>
      <c r="BM21" s="67"/>
      <c r="BN21" s="68"/>
    </row>
    <row r="22" spans="3:66">
      <c r="C22" s="66"/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8"/>
      <c r="T22" s="66"/>
      <c r="U22" s="67"/>
      <c r="V22" s="67"/>
      <c r="W22" s="67"/>
      <c r="X22" s="67"/>
      <c r="Y22" s="67"/>
      <c r="Z22" s="67"/>
      <c r="AA22" s="67"/>
      <c r="AB22" s="67"/>
      <c r="AC22" s="67"/>
      <c r="AD22" s="67"/>
      <c r="AE22" s="67"/>
      <c r="AF22" s="68"/>
      <c r="AK22" s="66"/>
      <c r="AL22" s="67"/>
      <c r="AM22" s="67"/>
      <c r="AN22" s="67"/>
      <c r="AO22" s="67"/>
      <c r="AP22" s="67"/>
      <c r="AQ22" s="67"/>
      <c r="AR22" s="67"/>
      <c r="AS22" s="67"/>
      <c r="AT22" s="67"/>
      <c r="AU22" s="67"/>
      <c r="AV22" s="67"/>
      <c r="AW22" s="68"/>
      <c r="BB22" s="66"/>
      <c r="BC22" s="67"/>
      <c r="BD22" s="67"/>
      <c r="BE22" s="67"/>
      <c r="BF22" s="67"/>
      <c r="BG22" s="67"/>
      <c r="BH22" s="67"/>
      <c r="BI22" s="67"/>
      <c r="BJ22" s="67"/>
      <c r="BK22" s="67"/>
      <c r="BL22" s="67"/>
      <c r="BM22" s="67"/>
      <c r="BN22" s="68"/>
    </row>
    <row r="23" spans="3:66">
      <c r="C23" s="66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8"/>
      <c r="T23" s="66"/>
      <c r="U23" s="67"/>
      <c r="V23" s="67"/>
      <c r="W23" s="67"/>
      <c r="X23" s="67"/>
      <c r="Y23" s="67"/>
      <c r="Z23" s="67"/>
      <c r="AA23" s="67"/>
      <c r="AB23" s="67"/>
      <c r="AC23" s="67"/>
      <c r="AD23" s="67"/>
      <c r="AE23" s="67"/>
      <c r="AF23" s="68"/>
      <c r="AK23" s="66"/>
      <c r="AL23" s="67"/>
      <c r="AM23" s="67"/>
      <c r="AN23" s="67"/>
      <c r="AO23" s="67"/>
      <c r="AP23" s="67"/>
      <c r="AQ23" s="67"/>
      <c r="AR23" s="67"/>
      <c r="AS23" s="67"/>
      <c r="AT23" s="67"/>
      <c r="AU23" s="67"/>
      <c r="AV23" s="67"/>
      <c r="AW23" s="68"/>
      <c r="BB23" s="66"/>
      <c r="BC23" s="67"/>
      <c r="BD23" s="67"/>
      <c r="BE23" s="67"/>
      <c r="BF23" s="67"/>
      <c r="BG23" s="67"/>
      <c r="BH23" s="67"/>
      <c r="BI23" s="67"/>
      <c r="BJ23" s="67"/>
      <c r="BK23" s="67"/>
      <c r="BL23" s="67"/>
      <c r="BM23" s="67"/>
      <c r="BN23" s="68"/>
    </row>
    <row r="24" spans="3:66">
      <c r="C24" s="66"/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8"/>
      <c r="T24" s="66"/>
      <c r="U24" s="67"/>
      <c r="V24" s="67"/>
      <c r="W24" s="67"/>
      <c r="X24" s="67"/>
      <c r="Y24" s="67"/>
      <c r="Z24" s="67"/>
      <c r="AA24" s="67"/>
      <c r="AB24" s="67"/>
      <c r="AC24" s="67"/>
      <c r="AD24" s="67"/>
      <c r="AE24" s="67"/>
      <c r="AF24" s="68"/>
      <c r="AK24" s="66"/>
      <c r="AL24" s="67"/>
      <c r="AM24" s="67"/>
      <c r="AN24" s="67"/>
      <c r="AO24" s="67"/>
      <c r="AP24" s="67"/>
      <c r="AQ24" s="67"/>
      <c r="AR24" s="67"/>
      <c r="AS24" s="67"/>
      <c r="AT24" s="67"/>
      <c r="AU24" s="67"/>
      <c r="AV24" s="67"/>
      <c r="AW24" s="68"/>
      <c r="BB24" s="66"/>
      <c r="BC24" s="67"/>
      <c r="BD24" s="67"/>
      <c r="BE24" s="67"/>
      <c r="BF24" s="67"/>
      <c r="BG24" s="67"/>
      <c r="BH24" s="67"/>
      <c r="BI24" s="67"/>
      <c r="BJ24" s="67"/>
      <c r="BK24" s="67"/>
      <c r="BL24" s="67"/>
      <c r="BM24" s="67"/>
      <c r="BN24" s="68"/>
    </row>
    <row r="25" spans="3:66">
      <c r="C25" s="66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8"/>
      <c r="T25" s="66"/>
      <c r="U25" s="67"/>
      <c r="V25" s="67"/>
      <c r="W25" s="67"/>
      <c r="X25" s="67"/>
      <c r="Y25" s="67"/>
      <c r="Z25" s="67"/>
      <c r="AA25" s="67"/>
      <c r="AB25" s="67"/>
      <c r="AC25" s="67"/>
      <c r="AD25" s="67"/>
      <c r="AE25" s="67"/>
      <c r="AF25" s="68"/>
      <c r="AK25" s="66"/>
      <c r="AL25" s="67"/>
      <c r="AM25" s="67"/>
      <c r="AN25" s="67"/>
      <c r="AO25" s="67"/>
      <c r="AP25" s="67"/>
      <c r="AQ25" s="67"/>
      <c r="AR25" s="67"/>
      <c r="AS25" s="67"/>
      <c r="AT25" s="67"/>
      <c r="AU25" s="67"/>
      <c r="AV25" s="67"/>
      <c r="AW25" s="68"/>
      <c r="BB25" s="66"/>
      <c r="BC25" s="67"/>
      <c r="BD25" s="67"/>
      <c r="BE25" s="67"/>
      <c r="BF25" s="67"/>
      <c r="BG25" s="67"/>
      <c r="BH25" s="67"/>
      <c r="BI25" s="67"/>
      <c r="BJ25" s="67"/>
      <c r="BK25" s="67"/>
      <c r="BL25" s="67"/>
      <c r="BM25" s="67"/>
      <c r="BN25" s="68"/>
    </row>
    <row r="26" spans="3:66">
      <c r="C26" s="66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8"/>
      <c r="T26" s="66"/>
      <c r="U26" s="67"/>
      <c r="V26" s="67"/>
      <c r="W26" s="67"/>
      <c r="X26" s="67"/>
      <c r="Y26" s="67"/>
      <c r="Z26" s="67"/>
      <c r="AA26" s="67"/>
      <c r="AB26" s="67"/>
      <c r="AC26" s="67"/>
      <c r="AD26" s="67"/>
      <c r="AE26" s="67"/>
      <c r="AF26" s="68"/>
      <c r="AK26" s="66"/>
      <c r="AL26" s="67"/>
      <c r="AM26" s="67"/>
      <c r="AN26" s="67"/>
      <c r="AO26" s="67"/>
      <c r="AP26" s="67"/>
      <c r="AQ26" s="67"/>
      <c r="AR26" s="67"/>
      <c r="AS26" s="67"/>
      <c r="AT26" s="67"/>
      <c r="AU26" s="67"/>
      <c r="AV26" s="67"/>
      <c r="AW26" s="68"/>
      <c r="BB26" s="66"/>
      <c r="BC26" s="67"/>
      <c r="BD26" s="67"/>
      <c r="BE26" s="67"/>
      <c r="BF26" s="67"/>
      <c r="BG26" s="67"/>
      <c r="BH26" s="67"/>
      <c r="BI26" s="67"/>
      <c r="BJ26" s="67"/>
      <c r="BK26" s="67"/>
      <c r="BL26" s="67"/>
      <c r="BM26" s="67"/>
      <c r="BN26" s="68"/>
    </row>
    <row r="27" spans="3:66">
      <c r="C27" s="66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8"/>
      <c r="T27" s="66"/>
      <c r="U27" s="67"/>
      <c r="V27" s="67"/>
      <c r="W27" s="67"/>
      <c r="X27" s="67"/>
      <c r="Y27" s="67"/>
      <c r="Z27" s="67"/>
      <c r="AA27" s="67"/>
      <c r="AB27" s="67"/>
      <c r="AC27" s="67"/>
      <c r="AD27" s="67"/>
      <c r="AE27" s="67"/>
      <c r="AF27" s="68"/>
      <c r="AK27" s="66"/>
      <c r="AL27" s="67"/>
      <c r="AM27" s="67"/>
      <c r="AN27" s="67"/>
      <c r="AO27" s="67"/>
      <c r="AP27" s="67"/>
      <c r="AQ27" s="67"/>
      <c r="AR27" s="67"/>
      <c r="AS27" s="67"/>
      <c r="AT27" s="67"/>
      <c r="AU27" s="67"/>
      <c r="AV27" s="67"/>
      <c r="AW27" s="68"/>
      <c r="BB27" s="66"/>
      <c r="BC27" s="67"/>
      <c r="BD27" s="67"/>
      <c r="BE27" s="67"/>
      <c r="BF27" s="67"/>
      <c r="BG27" s="67"/>
      <c r="BH27" s="67"/>
      <c r="BI27" s="67"/>
      <c r="BJ27" s="67"/>
      <c r="BK27" s="67"/>
      <c r="BL27" s="67"/>
      <c r="BM27" s="67"/>
      <c r="BN27" s="68"/>
    </row>
    <row r="28" spans="3:66">
      <c r="C28" s="66"/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8"/>
      <c r="T28" s="66"/>
      <c r="U28" s="67"/>
      <c r="V28" s="67"/>
      <c r="W28" s="67"/>
      <c r="X28" s="67"/>
      <c r="Y28" s="67"/>
      <c r="Z28" s="67"/>
      <c r="AA28" s="67"/>
      <c r="AB28" s="67"/>
      <c r="AC28" s="67"/>
      <c r="AD28" s="67"/>
      <c r="AE28" s="67"/>
      <c r="AF28" s="68"/>
      <c r="AK28" s="66"/>
      <c r="AL28" s="67"/>
      <c r="AM28" s="67"/>
      <c r="AN28" s="67"/>
      <c r="AO28" s="67"/>
      <c r="AP28" s="67"/>
      <c r="AQ28" s="67"/>
      <c r="AR28" s="67"/>
      <c r="AS28" s="67"/>
      <c r="AT28" s="67"/>
      <c r="AU28" s="67"/>
      <c r="AV28" s="67"/>
      <c r="AW28" s="68"/>
      <c r="BB28" s="66"/>
      <c r="BC28" s="67"/>
      <c r="BD28" s="67"/>
      <c r="BE28" s="67"/>
      <c r="BF28" s="67"/>
      <c r="BG28" s="67"/>
      <c r="BH28" s="67"/>
      <c r="BI28" s="67"/>
      <c r="BJ28" s="67"/>
      <c r="BK28" s="67"/>
      <c r="BL28" s="67"/>
      <c r="BM28" s="67"/>
      <c r="BN28" s="68"/>
    </row>
    <row r="29" spans="3:66">
      <c r="C29" s="66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8"/>
      <c r="T29" s="66"/>
      <c r="U29" s="67"/>
      <c r="V29" s="67"/>
      <c r="W29" s="67"/>
      <c r="X29" s="67"/>
      <c r="Y29" s="67"/>
      <c r="Z29" s="67"/>
      <c r="AA29" s="67"/>
      <c r="AB29" s="67"/>
      <c r="AC29" s="67"/>
      <c r="AD29" s="67"/>
      <c r="AE29" s="67"/>
      <c r="AF29" s="68"/>
      <c r="AK29" s="66"/>
      <c r="AL29" s="67"/>
      <c r="AM29" s="67"/>
      <c r="AN29" s="67"/>
      <c r="AO29" s="67"/>
      <c r="AP29" s="67"/>
      <c r="AQ29" s="67"/>
      <c r="AR29" s="67"/>
      <c r="AS29" s="67"/>
      <c r="AT29" s="67"/>
      <c r="AU29" s="67"/>
      <c r="AV29" s="67"/>
      <c r="AW29" s="68"/>
      <c r="BB29" s="66"/>
      <c r="BC29" s="67"/>
      <c r="BD29" s="67"/>
      <c r="BE29" s="67"/>
      <c r="BF29" s="67"/>
      <c r="BG29" s="67"/>
      <c r="BH29" s="67"/>
      <c r="BI29" s="67"/>
      <c r="BJ29" s="67"/>
      <c r="BK29" s="67"/>
      <c r="BL29" s="67"/>
      <c r="BM29" s="67"/>
      <c r="BN29" s="68"/>
    </row>
    <row r="30" spans="3:66">
      <c r="C30" s="66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8"/>
      <c r="T30" s="66"/>
      <c r="U30" s="67"/>
      <c r="V30" s="67"/>
      <c r="W30" s="67"/>
      <c r="X30" s="67"/>
      <c r="Y30" s="67"/>
      <c r="Z30" s="67"/>
      <c r="AA30" s="67"/>
      <c r="AB30" s="67"/>
      <c r="AC30" s="67"/>
      <c r="AD30" s="67"/>
      <c r="AE30" s="67"/>
      <c r="AF30" s="68"/>
      <c r="AK30" s="66"/>
      <c r="AL30" s="67"/>
      <c r="AM30" s="67"/>
      <c r="AN30" s="67"/>
      <c r="AO30" s="67"/>
      <c r="AP30" s="67"/>
      <c r="AQ30" s="67"/>
      <c r="AR30" s="67"/>
      <c r="AS30" s="67"/>
      <c r="AT30" s="67"/>
      <c r="AU30" s="67"/>
      <c r="AV30" s="67"/>
      <c r="AW30" s="68"/>
      <c r="BB30" s="66"/>
      <c r="BC30" s="67"/>
      <c r="BD30" s="67"/>
      <c r="BE30" s="67"/>
      <c r="BF30" s="67"/>
      <c r="BG30" s="67"/>
      <c r="BH30" s="67"/>
      <c r="BI30" s="67"/>
      <c r="BJ30" s="67"/>
      <c r="BK30" s="67"/>
      <c r="BL30" s="67"/>
      <c r="BM30" s="67"/>
      <c r="BN30" s="68"/>
    </row>
    <row r="31" spans="3:66">
      <c r="C31" s="66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8"/>
      <c r="T31" s="66"/>
      <c r="U31" s="67"/>
      <c r="V31" s="67"/>
      <c r="W31" s="67"/>
      <c r="X31" s="67"/>
      <c r="Y31" s="67"/>
      <c r="Z31" s="67"/>
      <c r="AA31" s="67"/>
      <c r="AB31" s="67"/>
      <c r="AC31" s="67"/>
      <c r="AD31" s="67"/>
      <c r="AE31" s="67"/>
      <c r="AF31" s="68"/>
      <c r="AK31" s="66"/>
      <c r="AL31" s="67"/>
      <c r="AM31" s="67"/>
      <c r="AN31" s="67"/>
      <c r="AO31" s="67"/>
      <c r="AP31" s="67"/>
      <c r="AQ31" s="67"/>
      <c r="AR31" s="67"/>
      <c r="AS31" s="67"/>
      <c r="AT31" s="67"/>
      <c r="AU31" s="67"/>
      <c r="AV31" s="67"/>
      <c r="AW31" s="68"/>
      <c r="BB31" s="66"/>
      <c r="BC31" s="67"/>
      <c r="BD31" s="67"/>
      <c r="BE31" s="67"/>
      <c r="BF31" s="67"/>
      <c r="BG31" s="67"/>
      <c r="BH31" s="67"/>
      <c r="BI31" s="67"/>
      <c r="BJ31" s="67"/>
      <c r="BK31" s="67"/>
      <c r="BL31" s="67"/>
      <c r="BM31" s="67"/>
      <c r="BN31" s="68"/>
    </row>
    <row r="32" spans="3:66">
      <c r="C32" s="66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8"/>
      <c r="T32" s="66"/>
      <c r="U32" s="67"/>
      <c r="V32" s="67"/>
      <c r="W32" s="67"/>
      <c r="X32" s="67"/>
      <c r="Y32" s="67"/>
      <c r="Z32" s="67"/>
      <c r="AA32" s="67"/>
      <c r="AB32" s="67"/>
      <c r="AC32" s="67"/>
      <c r="AD32" s="67"/>
      <c r="AE32" s="67"/>
      <c r="AF32" s="68"/>
      <c r="AK32" s="66"/>
      <c r="AL32" s="67"/>
      <c r="AM32" s="67"/>
      <c r="AN32" s="67"/>
      <c r="AO32" s="67"/>
      <c r="AP32" s="67"/>
      <c r="AQ32" s="67"/>
      <c r="AR32" s="67"/>
      <c r="AS32" s="67"/>
      <c r="AT32" s="67"/>
      <c r="AU32" s="67"/>
      <c r="AV32" s="67"/>
      <c r="AW32" s="68"/>
      <c r="BB32" s="66"/>
      <c r="BC32" s="67"/>
      <c r="BD32" s="67"/>
      <c r="BE32" s="67"/>
      <c r="BF32" s="67"/>
      <c r="BG32" s="67"/>
      <c r="BH32" s="67"/>
      <c r="BI32" s="67"/>
      <c r="BJ32" s="67"/>
      <c r="BK32" s="67"/>
      <c r="BL32" s="67"/>
      <c r="BM32" s="67"/>
      <c r="BN32" s="68"/>
    </row>
    <row r="33" spans="3:66">
      <c r="C33" s="69"/>
      <c r="D33" s="70"/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1"/>
      <c r="T33" s="69"/>
      <c r="U33" s="70"/>
      <c r="V33" s="70"/>
      <c r="W33" s="70"/>
      <c r="X33" s="70"/>
      <c r="Y33" s="70"/>
      <c r="Z33" s="70"/>
      <c r="AA33" s="70"/>
      <c r="AB33" s="70"/>
      <c r="AC33" s="70"/>
      <c r="AD33" s="70"/>
      <c r="AE33" s="70"/>
      <c r="AF33" s="71"/>
      <c r="AK33" s="69"/>
      <c r="AL33" s="70"/>
      <c r="AM33" s="70"/>
      <c r="AN33" s="70"/>
      <c r="AO33" s="70"/>
      <c r="AP33" s="70"/>
      <c r="AQ33" s="70"/>
      <c r="AR33" s="70"/>
      <c r="AS33" s="70"/>
      <c r="AT33" s="70"/>
      <c r="AU33" s="70"/>
      <c r="AV33" s="70"/>
      <c r="AW33" s="71"/>
      <c r="BB33" s="69"/>
      <c r="BC33" s="70"/>
      <c r="BD33" s="70"/>
      <c r="BE33" s="70"/>
      <c r="BF33" s="70"/>
      <c r="BG33" s="70"/>
      <c r="BH33" s="70"/>
      <c r="BI33" s="70"/>
      <c r="BJ33" s="70"/>
      <c r="BK33" s="70"/>
      <c r="BL33" s="70"/>
      <c r="BM33" s="70"/>
      <c r="BN33" s="71"/>
    </row>
    <row r="36" spans="3:66">
      <c r="C36" s="63"/>
      <c r="D36" s="64"/>
      <c r="E36" s="64"/>
      <c r="F36" s="64"/>
      <c r="G36" s="64"/>
      <c r="H36" s="64"/>
      <c r="I36" s="64"/>
      <c r="J36" s="64"/>
      <c r="K36" s="64"/>
      <c r="L36" s="64"/>
      <c r="M36" s="64"/>
      <c r="N36" s="64"/>
      <c r="O36" s="65"/>
      <c r="T36" s="63"/>
      <c r="U36" s="64"/>
      <c r="V36" s="64"/>
      <c r="W36" s="64"/>
      <c r="X36" s="64"/>
      <c r="Y36" s="64"/>
      <c r="Z36" s="64"/>
      <c r="AA36" s="64"/>
      <c r="AB36" s="64"/>
      <c r="AC36" s="64"/>
      <c r="AD36" s="64"/>
      <c r="AE36" s="64"/>
      <c r="AF36" s="65"/>
      <c r="AK36" s="63"/>
      <c r="AL36" s="64"/>
      <c r="AM36" s="64"/>
      <c r="AN36" s="64"/>
      <c r="AO36" s="64"/>
      <c r="AP36" s="64"/>
      <c r="AQ36" s="64"/>
      <c r="AR36" s="64"/>
      <c r="AS36" s="64"/>
      <c r="AT36" s="64"/>
      <c r="AU36" s="64"/>
      <c r="AV36" s="64"/>
      <c r="AW36" s="65"/>
      <c r="BB36" s="63"/>
      <c r="BC36" s="64"/>
      <c r="BD36" s="64"/>
      <c r="BE36" s="64"/>
      <c r="BF36" s="64"/>
      <c r="BG36" s="64"/>
      <c r="BH36" s="64"/>
      <c r="BI36" s="64"/>
      <c r="BJ36" s="64"/>
      <c r="BK36" s="64"/>
      <c r="BL36" s="64"/>
      <c r="BM36" s="64"/>
      <c r="BN36" s="65"/>
    </row>
    <row r="37" spans="3:66">
      <c r="C37" s="66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8"/>
      <c r="T37" s="66"/>
      <c r="U37" s="67"/>
      <c r="V37" s="67"/>
      <c r="W37" s="67"/>
      <c r="X37" s="67"/>
      <c r="Y37" s="67"/>
      <c r="Z37" s="67"/>
      <c r="AA37" s="67"/>
      <c r="AB37" s="67"/>
      <c r="AC37" s="67"/>
      <c r="AD37" s="67"/>
      <c r="AE37" s="67"/>
      <c r="AF37" s="68"/>
      <c r="AK37" s="66"/>
      <c r="AL37" s="67"/>
      <c r="AM37" s="67"/>
      <c r="AN37" s="67"/>
      <c r="AO37" s="67"/>
      <c r="AP37" s="67"/>
      <c r="AQ37" s="67"/>
      <c r="AR37" s="67"/>
      <c r="AS37" s="67"/>
      <c r="AT37" s="67"/>
      <c r="AU37" s="67"/>
      <c r="AV37" s="67"/>
      <c r="AW37" s="68"/>
      <c r="BB37" s="66"/>
      <c r="BC37" s="67"/>
      <c r="BD37" s="67"/>
      <c r="BE37" s="67"/>
      <c r="BF37" s="67"/>
      <c r="BG37" s="67"/>
      <c r="BH37" s="67"/>
      <c r="BI37" s="67"/>
      <c r="BJ37" s="67"/>
      <c r="BK37" s="67"/>
      <c r="BL37" s="67"/>
      <c r="BM37" s="67"/>
      <c r="BN37" s="68"/>
    </row>
    <row r="38" spans="3:66">
      <c r="C38" s="66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8"/>
      <c r="T38" s="66"/>
      <c r="U38" s="67"/>
      <c r="V38" s="67"/>
      <c r="W38" s="67"/>
      <c r="X38" s="67"/>
      <c r="Y38" s="67"/>
      <c r="Z38" s="67"/>
      <c r="AA38" s="67"/>
      <c r="AB38" s="67"/>
      <c r="AC38" s="67"/>
      <c r="AD38" s="67"/>
      <c r="AE38" s="67"/>
      <c r="AF38" s="68"/>
      <c r="AK38" s="66"/>
      <c r="AL38" s="67"/>
      <c r="AM38" s="67"/>
      <c r="AN38" s="67"/>
      <c r="AO38" s="67"/>
      <c r="AP38" s="67"/>
      <c r="AQ38" s="67"/>
      <c r="AR38" s="67"/>
      <c r="AS38" s="67"/>
      <c r="AT38" s="67"/>
      <c r="AU38" s="67"/>
      <c r="AV38" s="67"/>
      <c r="AW38" s="68"/>
      <c r="BB38" s="66"/>
      <c r="BC38" s="67"/>
      <c r="BD38" s="67"/>
      <c r="BE38" s="67"/>
      <c r="BF38" s="67"/>
      <c r="BG38" s="67"/>
      <c r="BH38" s="67"/>
      <c r="BI38" s="67"/>
      <c r="BJ38" s="67"/>
      <c r="BK38" s="67"/>
      <c r="BL38" s="67"/>
      <c r="BM38" s="67"/>
      <c r="BN38" s="68"/>
    </row>
    <row r="39" spans="3:66">
      <c r="C39" s="66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8"/>
      <c r="T39" s="66"/>
      <c r="U39" s="67"/>
      <c r="V39" s="67"/>
      <c r="W39" s="67"/>
      <c r="X39" s="67"/>
      <c r="Y39" s="67"/>
      <c r="Z39" s="67"/>
      <c r="AA39" s="67"/>
      <c r="AB39" s="67"/>
      <c r="AC39" s="67"/>
      <c r="AD39" s="67"/>
      <c r="AE39" s="67"/>
      <c r="AF39" s="68"/>
      <c r="AK39" s="66"/>
      <c r="AL39" s="67"/>
      <c r="AM39" s="67"/>
      <c r="AN39" s="67"/>
      <c r="AO39" s="67"/>
      <c r="AP39" s="67"/>
      <c r="AQ39" s="67"/>
      <c r="AR39" s="67"/>
      <c r="AS39" s="67"/>
      <c r="AT39" s="67"/>
      <c r="AU39" s="67"/>
      <c r="AV39" s="67"/>
      <c r="AW39" s="68"/>
      <c r="BB39" s="66"/>
      <c r="BC39" s="67"/>
      <c r="BD39" s="67"/>
      <c r="BE39" s="67"/>
      <c r="BF39" s="67"/>
      <c r="BG39" s="67"/>
      <c r="BH39" s="67"/>
      <c r="BI39" s="67"/>
      <c r="BJ39" s="67"/>
      <c r="BK39" s="67"/>
      <c r="BL39" s="67"/>
      <c r="BM39" s="67"/>
      <c r="BN39" s="68"/>
    </row>
    <row r="40" spans="3:66">
      <c r="C40" s="66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8"/>
      <c r="T40" s="66"/>
      <c r="U40" s="67"/>
      <c r="V40" s="67"/>
      <c r="W40" s="67"/>
      <c r="X40" s="67"/>
      <c r="Y40" s="67"/>
      <c r="Z40" s="67"/>
      <c r="AA40" s="67"/>
      <c r="AB40" s="67"/>
      <c r="AC40" s="67"/>
      <c r="AD40" s="67"/>
      <c r="AE40" s="67"/>
      <c r="AF40" s="68"/>
      <c r="AK40" s="66"/>
      <c r="AL40" s="67"/>
      <c r="AM40" s="67"/>
      <c r="AN40" s="67"/>
      <c r="AO40" s="67"/>
      <c r="AP40" s="67"/>
      <c r="AQ40" s="67"/>
      <c r="AR40" s="67"/>
      <c r="AS40" s="67"/>
      <c r="AT40" s="67"/>
      <c r="AU40" s="67"/>
      <c r="AV40" s="67"/>
      <c r="AW40" s="68"/>
      <c r="BB40" s="66"/>
      <c r="BC40" s="67"/>
      <c r="BD40" s="67"/>
      <c r="BE40" s="67"/>
      <c r="BF40" s="67"/>
      <c r="BG40" s="67"/>
      <c r="BH40" s="67"/>
      <c r="BI40" s="67"/>
      <c r="BJ40" s="67"/>
      <c r="BK40" s="67"/>
      <c r="BL40" s="67"/>
      <c r="BM40" s="67"/>
      <c r="BN40" s="68"/>
    </row>
    <row r="41" spans="3:66">
      <c r="C41" s="66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8"/>
      <c r="T41" s="66"/>
      <c r="U41" s="67"/>
      <c r="V41" s="67"/>
      <c r="W41" s="67"/>
      <c r="X41" s="67"/>
      <c r="Y41" s="67"/>
      <c r="Z41" s="67"/>
      <c r="AA41" s="67"/>
      <c r="AB41" s="67"/>
      <c r="AC41" s="67"/>
      <c r="AD41" s="67"/>
      <c r="AE41" s="67"/>
      <c r="AF41" s="68"/>
      <c r="AK41" s="66"/>
      <c r="AL41" s="67"/>
      <c r="AM41" s="67"/>
      <c r="AN41" s="67"/>
      <c r="AO41" s="67"/>
      <c r="AP41" s="67"/>
      <c r="AQ41" s="67"/>
      <c r="AR41" s="67"/>
      <c r="AS41" s="67"/>
      <c r="AT41" s="67"/>
      <c r="AU41" s="67"/>
      <c r="AV41" s="67"/>
      <c r="AW41" s="68"/>
      <c r="BB41" s="66"/>
      <c r="BC41" s="67"/>
      <c r="BD41" s="67"/>
      <c r="BE41" s="67"/>
      <c r="BF41" s="67"/>
      <c r="BG41" s="67"/>
      <c r="BH41" s="67"/>
      <c r="BI41" s="67"/>
      <c r="BJ41" s="67"/>
      <c r="BK41" s="67"/>
      <c r="BL41" s="67"/>
      <c r="BM41" s="67"/>
      <c r="BN41" s="68"/>
    </row>
    <row r="42" spans="3:66">
      <c r="C42" s="66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8"/>
      <c r="T42" s="66"/>
      <c r="U42" s="67"/>
      <c r="V42" s="67"/>
      <c r="W42" s="67"/>
      <c r="X42" s="67"/>
      <c r="Y42" s="67"/>
      <c r="Z42" s="67"/>
      <c r="AA42" s="67"/>
      <c r="AB42" s="67"/>
      <c r="AC42" s="67"/>
      <c r="AD42" s="67"/>
      <c r="AE42" s="67"/>
      <c r="AF42" s="68"/>
      <c r="AK42" s="66"/>
      <c r="AL42" s="67"/>
      <c r="AM42" s="67"/>
      <c r="AN42" s="67"/>
      <c r="AO42" s="67"/>
      <c r="AP42" s="67"/>
      <c r="AQ42" s="67"/>
      <c r="AR42" s="67"/>
      <c r="AS42" s="67"/>
      <c r="AT42" s="67"/>
      <c r="AU42" s="67"/>
      <c r="AV42" s="67"/>
      <c r="AW42" s="68"/>
      <c r="BB42" s="66"/>
      <c r="BC42" s="67"/>
      <c r="BD42" s="67"/>
      <c r="BE42" s="67"/>
      <c r="BF42" s="67"/>
      <c r="BG42" s="67"/>
      <c r="BH42" s="67"/>
      <c r="BI42" s="67"/>
      <c r="BJ42" s="67"/>
      <c r="BK42" s="67"/>
      <c r="BL42" s="67"/>
      <c r="BM42" s="67"/>
      <c r="BN42" s="68"/>
    </row>
    <row r="43" spans="3:66">
      <c r="C43" s="66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8"/>
      <c r="T43" s="66"/>
      <c r="U43" s="67"/>
      <c r="V43" s="67"/>
      <c r="W43" s="67"/>
      <c r="X43" s="67"/>
      <c r="Y43" s="67"/>
      <c r="Z43" s="67"/>
      <c r="AA43" s="67"/>
      <c r="AB43" s="67"/>
      <c r="AC43" s="67"/>
      <c r="AD43" s="67"/>
      <c r="AE43" s="67"/>
      <c r="AF43" s="68"/>
      <c r="AK43" s="66"/>
      <c r="AL43" s="67"/>
      <c r="AM43" s="67"/>
      <c r="AN43" s="67"/>
      <c r="AO43" s="67"/>
      <c r="AP43" s="67"/>
      <c r="AQ43" s="67"/>
      <c r="AR43" s="67"/>
      <c r="AS43" s="67"/>
      <c r="AT43" s="67"/>
      <c r="AU43" s="67"/>
      <c r="AV43" s="67"/>
      <c r="AW43" s="68"/>
      <c r="BB43" s="66"/>
      <c r="BC43" s="67"/>
      <c r="BD43" s="67"/>
      <c r="BE43" s="67"/>
      <c r="BF43" s="67"/>
      <c r="BG43" s="67"/>
      <c r="BH43" s="67"/>
      <c r="BI43" s="67"/>
      <c r="BJ43" s="67"/>
      <c r="BK43" s="67"/>
      <c r="BL43" s="67"/>
      <c r="BM43" s="67"/>
      <c r="BN43" s="68"/>
    </row>
    <row r="44" spans="3:66">
      <c r="C44" s="66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8"/>
      <c r="T44" s="66"/>
      <c r="U44" s="67"/>
      <c r="V44" s="67"/>
      <c r="W44" s="67"/>
      <c r="X44" s="67"/>
      <c r="Y44" s="67"/>
      <c r="Z44" s="67"/>
      <c r="AA44" s="67"/>
      <c r="AB44" s="67"/>
      <c r="AC44" s="67"/>
      <c r="AD44" s="67"/>
      <c r="AE44" s="67"/>
      <c r="AF44" s="68"/>
      <c r="AK44" s="66"/>
      <c r="AL44" s="67"/>
      <c r="AM44" s="67"/>
      <c r="AN44" s="67"/>
      <c r="AO44" s="67"/>
      <c r="AP44" s="67"/>
      <c r="AQ44" s="67"/>
      <c r="AR44" s="67"/>
      <c r="AS44" s="67"/>
      <c r="AT44" s="67"/>
      <c r="AU44" s="67"/>
      <c r="AV44" s="67"/>
      <c r="AW44" s="68"/>
      <c r="BB44" s="66"/>
      <c r="BC44" s="67"/>
      <c r="BD44" s="67"/>
      <c r="BE44" s="67"/>
      <c r="BF44" s="67"/>
      <c r="BG44" s="67"/>
      <c r="BH44" s="67"/>
      <c r="BI44" s="67"/>
      <c r="BJ44" s="67"/>
      <c r="BK44" s="67"/>
      <c r="BL44" s="67"/>
      <c r="BM44" s="67"/>
      <c r="BN44" s="68"/>
    </row>
    <row r="45" spans="3:66">
      <c r="C45" s="66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8"/>
      <c r="T45" s="66"/>
      <c r="U45" s="67"/>
      <c r="V45" s="67"/>
      <c r="W45" s="67"/>
      <c r="X45" s="67"/>
      <c r="Y45" s="67"/>
      <c r="Z45" s="67"/>
      <c r="AA45" s="67"/>
      <c r="AB45" s="67"/>
      <c r="AC45" s="67"/>
      <c r="AD45" s="67"/>
      <c r="AE45" s="67"/>
      <c r="AF45" s="68"/>
      <c r="AK45" s="66"/>
      <c r="AL45" s="67"/>
      <c r="AM45" s="67"/>
      <c r="AN45" s="67"/>
      <c r="AO45" s="67"/>
      <c r="AP45" s="67"/>
      <c r="AQ45" s="67"/>
      <c r="AR45" s="67"/>
      <c r="AS45" s="67"/>
      <c r="AT45" s="67"/>
      <c r="AU45" s="67"/>
      <c r="AV45" s="67"/>
      <c r="AW45" s="68"/>
      <c r="BB45" s="66"/>
      <c r="BC45" s="67"/>
      <c r="BD45" s="67"/>
      <c r="BE45" s="67"/>
      <c r="BF45" s="67"/>
      <c r="BG45" s="67"/>
      <c r="BH45" s="67"/>
      <c r="BI45" s="67"/>
      <c r="BJ45" s="67"/>
      <c r="BK45" s="67"/>
      <c r="BL45" s="67"/>
      <c r="BM45" s="67"/>
      <c r="BN45" s="68"/>
    </row>
    <row r="46" spans="3:66">
      <c r="C46" s="66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8"/>
      <c r="T46" s="66"/>
      <c r="U46" s="67"/>
      <c r="V46" s="67"/>
      <c r="W46" s="67"/>
      <c r="X46" s="67"/>
      <c r="Y46" s="67"/>
      <c r="Z46" s="67"/>
      <c r="AA46" s="67"/>
      <c r="AB46" s="67"/>
      <c r="AC46" s="67"/>
      <c r="AD46" s="67"/>
      <c r="AE46" s="67"/>
      <c r="AF46" s="68"/>
      <c r="AK46" s="66"/>
      <c r="AL46" s="67"/>
      <c r="AM46" s="67"/>
      <c r="AN46" s="67"/>
      <c r="AO46" s="67"/>
      <c r="AP46" s="67"/>
      <c r="AQ46" s="67"/>
      <c r="AR46" s="67"/>
      <c r="AS46" s="67"/>
      <c r="AT46" s="67"/>
      <c r="AU46" s="67"/>
      <c r="AV46" s="67"/>
      <c r="AW46" s="68"/>
      <c r="BB46" s="66"/>
      <c r="BC46" s="67"/>
      <c r="BD46" s="67"/>
      <c r="BE46" s="67"/>
      <c r="BF46" s="67"/>
      <c r="BG46" s="67"/>
      <c r="BH46" s="67"/>
      <c r="BI46" s="67"/>
      <c r="BJ46" s="67"/>
      <c r="BK46" s="67"/>
      <c r="BL46" s="67"/>
      <c r="BM46" s="67"/>
      <c r="BN46" s="68"/>
    </row>
    <row r="47" spans="3:66">
      <c r="C47" s="66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8"/>
      <c r="T47" s="66"/>
      <c r="U47" s="67"/>
      <c r="V47" s="67"/>
      <c r="W47" s="67"/>
      <c r="X47" s="67"/>
      <c r="Y47" s="67"/>
      <c r="Z47" s="67"/>
      <c r="AA47" s="67"/>
      <c r="AB47" s="67"/>
      <c r="AC47" s="67"/>
      <c r="AD47" s="67"/>
      <c r="AE47" s="67"/>
      <c r="AF47" s="68"/>
      <c r="AK47" s="66"/>
      <c r="AL47" s="67"/>
      <c r="AM47" s="67"/>
      <c r="AN47" s="67"/>
      <c r="AO47" s="67"/>
      <c r="AP47" s="67"/>
      <c r="AQ47" s="67"/>
      <c r="AR47" s="67"/>
      <c r="AS47" s="67"/>
      <c r="AT47" s="67"/>
      <c r="AU47" s="67"/>
      <c r="AV47" s="67"/>
      <c r="AW47" s="68"/>
      <c r="BB47" s="66"/>
      <c r="BC47" s="67"/>
      <c r="BD47" s="67"/>
      <c r="BE47" s="67"/>
      <c r="BF47" s="67"/>
      <c r="BG47" s="67"/>
      <c r="BH47" s="67"/>
      <c r="BI47" s="67"/>
      <c r="BJ47" s="67"/>
      <c r="BK47" s="67"/>
      <c r="BL47" s="67"/>
      <c r="BM47" s="67"/>
      <c r="BN47" s="68"/>
    </row>
    <row r="48" spans="3:66">
      <c r="C48" s="66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8"/>
      <c r="T48" s="66"/>
      <c r="U48" s="67"/>
      <c r="V48" s="67"/>
      <c r="W48" s="67"/>
      <c r="X48" s="67"/>
      <c r="Y48" s="67"/>
      <c r="Z48" s="67"/>
      <c r="AA48" s="67"/>
      <c r="AB48" s="67"/>
      <c r="AC48" s="67"/>
      <c r="AD48" s="67"/>
      <c r="AE48" s="67"/>
      <c r="AF48" s="68"/>
      <c r="AK48" s="66"/>
      <c r="AL48" s="67"/>
      <c r="AM48" s="67"/>
      <c r="AN48" s="67"/>
      <c r="AO48" s="67"/>
      <c r="AP48" s="67"/>
      <c r="AQ48" s="67"/>
      <c r="AR48" s="67"/>
      <c r="AS48" s="67"/>
      <c r="AT48" s="67"/>
      <c r="AU48" s="67"/>
      <c r="AV48" s="67"/>
      <c r="AW48" s="68"/>
      <c r="BB48" s="66"/>
      <c r="BC48" s="67"/>
      <c r="BD48" s="67"/>
      <c r="BE48" s="67"/>
      <c r="BF48" s="67"/>
      <c r="BG48" s="67"/>
      <c r="BH48" s="67"/>
      <c r="BI48" s="67"/>
      <c r="BJ48" s="67"/>
      <c r="BK48" s="67"/>
      <c r="BL48" s="67"/>
      <c r="BM48" s="67"/>
      <c r="BN48" s="68"/>
    </row>
    <row r="49" spans="3:66">
      <c r="C49" s="66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8"/>
      <c r="T49" s="66"/>
      <c r="U49" s="67"/>
      <c r="V49" s="67"/>
      <c r="W49" s="67"/>
      <c r="X49" s="67"/>
      <c r="Y49" s="67"/>
      <c r="Z49" s="67"/>
      <c r="AA49" s="67"/>
      <c r="AB49" s="67"/>
      <c r="AC49" s="67"/>
      <c r="AD49" s="67"/>
      <c r="AE49" s="67"/>
      <c r="AF49" s="68"/>
      <c r="AK49" s="66"/>
      <c r="AL49" s="67"/>
      <c r="AM49" s="67"/>
      <c r="AN49" s="67"/>
      <c r="AO49" s="67"/>
      <c r="AP49" s="67"/>
      <c r="AQ49" s="67"/>
      <c r="AR49" s="67"/>
      <c r="AS49" s="67"/>
      <c r="AT49" s="67"/>
      <c r="AU49" s="67"/>
      <c r="AV49" s="67"/>
      <c r="AW49" s="68"/>
      <c r="BB49" s="66"/>
      <c r="BC49" s="67"/>
      <c r="BD49" s="67"/>
      <c r="BE49" s="67"/>
      <c r="BF49" s="67"/>
      <c r="BG49" s="67"/>
      <c r="BH49" s="67"/>
      <c r="BI49" s="67"/>
      <c r="BJ49" s="67"/>
      <c r="BK49" s="67"/>
      <c r="BL49" s="67"/>
      <c r="BM49" s="67"/>
      <c r="BN49" s="68"/>
    </row>
    <row r="50" spans="3:66">
      <c r="C50" s="66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8"/>
      <c r="T50" s="66"/>
      <c r="U50" s="67"/>
      <c r="V50" s="67"/>
      <c r="W50" s="67"/>
      <c r="X50" s="67"/>
      <c r="Y50" s="67"/>
      <c r="Z50" s="67"/>
      <c r="AA50" s="67"/>
      <c r="AB50" s="67"/>
      <c r="AC50" s="67"/>
      <c r="AD50" s="67"/>
      <c r="AE50" s="67"/>
      <c r="AF50" s="68"/>
      <c r="AK50" s="66"/>
      <c r="AL50" s="67"/>
      <c r="AM50" s="67"/>
      <c r="AN50" s="67"/>
      <c r="AO50" s="67"/>
      <c r="AP50" s="67"/>
      <c r="AQ50" s="67"/>
      <c r="AR50" s="67"/>
      <c r="AS50" s="67"/>
      <c r="AT50" s="67"/>
      <c r="AU50" s="67"/>
      <c r="AV50" s="67"/>
      <c r="AW50" s="68"/>
      <c r="BB50" s="66"/>
      <c r="BC50" s="67"/>
      <c r="BD50" s="67"/>
      <c r="BE50" s="67"/>
      <c r="BF50" s="67"/>
      <c r="BG50" s="67"/>
      <c r="BH50" s="67"/>
      <c r="BI50" s="67"/>
      <c r="BJ50" s="67"/>
      <c r="BK50" s="67"/>
      <c r="BL50" s="67"/>
      <c r="BM50" s="67"/>
      <c r="BN50" s="68"/>
    </row>
    <row r="51" spans="3:66">
      <c r="C51" s="66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8"/>
      <c r="T51" s="66"/>
      <c r="U51" s="67"/>
      <c r="V51" s="67"/>
      <c r="W51" s="67"/>
      <c r="X51" s="67"/>
      <c r="Y51" s="67"/>
      <c r="Z51" s="67"/>
      <c r="AA51" s="67"/>
      <c r="AB51" s="67"/>
      <c r="AC51" s="67"/>
      <c r="AD51" s="67"/>
      <c r="AE51" s="67"/>
      <c r="AF51" s="68"/>
      <c r="AK51" s="66"/>
      <c r="AL51" s="67"/>
      <c r="AM51" s="67"/>
      <c r="AN51" s="67"/>
      <c r="AO51" s="67"/>
      <c r="AP51" s="67"/>
      <c r="AQ51" s="67"/>
      <c r="AR51" s="67"/>
      <c r="AS51" s="67"/>
      <c r="AT51" s="67"/>
      <c r="AU51" s="67"/>
      <c r="AV51" s="67"/>
      <c r="AW51" s="68"/>
      <c r="BB51" s="66"/>
      <c r="BC51" s="67"/>
      <c r="BD51" s="67"/>
      <c r="BE51" s="67"/>
      <c r="BF51" s="67"/>
      <c r="BG51" s="67"/>
      <c r="BH51" s="67"/>
      <c r="BI51" s="67"/>
      <c r="BJ51" s="67"/>
      <c r="BK51" s="67"/>
      <c r="BL51" s="67"/>
      <c r="BM51" s="67"/>
      <c r="BN51" s="68"/>
    </row>
    <row r="52" spans="3:66">
      <c r="C52" s="66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8"/>
      <c r="T52" s="66"/>
      <c r="U52" s="67"/>
      <c r="V52" s="67"/>
      <c r="W52" s="67"/>
      <c r="X52" s="67"/>
      <c r="Y52" s="67"/>
      <c r="Z52" s="67"/>
      <c r="AA52" s="67"/>
      <c r="AB52" s="67"/>
      <c r="AC52" s="67"/>
      <c r="AD52" s="67"/>
      <c r="AE52" s="67"/>
      <c r="AF52" s="68"/>
      <c r="AK52" s="66"/>
      <c r="AL52" s="67"/>
      <c r="AM52" s="67"/>
      <c r="AN52" s="67"/>
      <c r="AO52" s="67"/>
      <c r="AP52" s="67"/>
      <c r="AQ52" s="67"/>
      <c r="AR52" s="67"/>
      <c r="AS52" s="67"/>
      <c r="AT52" s="67"/>
      <c r="AU52" s="67"/>
      <c r="AV52" s="67"/>
      <c r="AW52" s="68"/>
      <c r="BB52" s="66"/>
      <c r="BC52" s="67"/>
      <c r="BD52" s="67"/>
      <c r="BE52" s="67"/>
      <c r="BF52" s="67"/>
      <c r="BG52" s="67"/>
      <c r="BH52" s="67"/>
      <c r="BI52" s="67"/>
      <c r="BJ52" s="67"/>
      <c r="BK52" s="67"/>
      <c r="BL52" s="67"/>
      <c r="BM52" s="67"/>
      <c r="BN52" s="68"/>
    </row>
    <row r="53" spans="3:66">
      <c r="C53" s="66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8"/>
      <c r="T53" s="66"/>
      <c r="U53" s="67"/>
      <c r="V53" s="67"/>
      <c r="W53" s="67"/>
      <c r="X53" s="67"/>
      <c r="Y53" s="67"/>
      <c r="Z53" s="67"/>
      <c r="AA53" s="67"/>
      <c r="AB53" s="67"/>
      <c r="AC53" s="67"/>
      <c r="AD53" s="67"/>
      <c r="AE53" s="67"/>
      <c r="AF53" s="68"/>
      <c r="AK53" s="66"/>
      <c r="AL53" s="67"/>
      <c r="AM53" s="67"/>
      <c r="AN53" s="67"/>
      <c r="AO53" s="67"/>
      <c r="AP53" s="67"/>
      <c r="AQ53" s="67"/>
      <c r="AR53" s="67"/>
      <c r="AS53" s="67"/>
      <c r="AT53" s="67"/>
      <c r="AU53" s="67"/>
      <c r="AV53" s="67"/>
      <c r="AW53" s="68"/>
      <c r="BB53" s="66"/>
      <c r="BC53" s="67"/>
      <c r="BD53" s="67"/>
      <c r="BE53" s="67"/>
      <c r="BF53" s="67"/>
      <c r="BG53" s="67"/>
      <c r="BH53" s="67"/>
      <c r="BI53" s="67"/>
      <c r="BJ53" s="67"/>
      <c r="BK53" s="67"/>
      <c r="BL53" s="67"/>
      <c r="BM53" s="67"/>
      <c r="BN53" s="68"/>
    </row>
    <row r="54" spans="3:66">
      <c r="C54" s="66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8"/>
      <c r="T54" s="66"/>
      <c r="U54" s="67"/>
      <c r="V54" s="67"/>
      <c r="W54" s="67"/>
      <c r="X54" s="67"/>
      <c r="Y54" s="67"/>
      <c r="Z54" s="67"/>
      <c r="AA54" s="67"/>
      <c r="AB54" s="67"/>
      <c r="AC54" s="67"/>
      <c r="AD54" s="67"/>
      <c r="AE54" s="67"/>
      <c r="AF54" s="68"/>
      <c r="AK54" s="66"/>
      <c r="AL54" s="67"/>
      <c r="AM54" s="67"/>
      <c r="AN54" s="67"/>
      <c r="AO54" s="67"/>
      <c r="AP54" s="67"/>
      <c r="AQ54" s="67"/>
      <c r="AR54" s="67"/>
      <c r="AS54" s="67"/>
      <c r="AT54" s="67"/>
      <c r="AU54" s="67"/>
      <c r="AV54" s="67"/>
      <c r="AW54" s="68"/>
      <c r="BB54" s="66"/>
      <c r="BC54" s="67"/>
      <c r="BD54" s="67"/>
      <c r="BE54" s="67"/>
      <c r="BF54" s="67"/>
      <c r="BG54" s="67"/>
      <c r="BH54" s="67"/>
      <c r="BI54" s="67"/>
      <c r="BJ54" s="67"/>
      <c r="BK54" s="67"/>
      <c r="BL54" s="67"/>
      <c r="BM54" s="67"/>
      <c r="BN54" s="68"/>
    </row>
    <row r="55" spans="3:66">
      <c r="C55" s="69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1"/>
      <c r="T55" s="69"/>
      <c r="U55" s="70"/>
      <c r="V55" s="70"/>
      <c r="W55" s="70"/>
      <c r="X55" s="70"/>
      <c r="Y55" s="70"/>
      <c r="Z55" s="70"/>
      <c r="AA55" s="70"/>
      <c r="AB55" s="70"/>
      <c r="AC55" s="70"/>
      <c r="AD55" s="70"/>
      <c r="AE55" s="70"/>
      <c r="AF55" s="71"/>
      <c r="AK55" s="69"/>
      <c r="AL55" s="70"/>
      <c r="AM55" s="70"/>
      <c r="AN55" s="70"/>
      <c r="AO55" s="70"/>
      <c r="AP55" s="70"/>
      <c r="AQ55" s="70"/>
      <c r="AR55" s="70"/>
      <c r="AS55" s="70"/>
      <c r="AT55" s="70"/>
      <c r="AU55" s="70"/>
      <c r="AV55" s="70"/>
      <c r="AW55" s="71"/>
      <c r="BB55" s="69"/>
      <c r="BC55" s="70"/>
      <c r="BD55" s="70"/>
      <c r="BE55" s="70"/>
      <c r="BF55" s="70"/>
      <c r="BG55" s="70"/>
      <c r="BH55" s="70"/>
      <c r="BI55" s="70"/>
      <c r="BJ55" s="70"/>
      <c r="BK55" s="70"/>
      <c r="BL55" s="70"/>
      <c r="BM55" s="70"/>
      <c r="BN55" s="71"/>
    </row>
    <row r="58" spans="3:66">
      <c r="C58" s="63"/>
      <c r="D58" s="64"/>
      <c r="E58" s="64"/>
      <c r="F58" s="64"/>
      <c r="G58" s="64"/>
      <c r="H58" s="64"/>
      <c r="I58" s="64"/>
      <c r="J58" s="64"/>
      <c r="K58" s="64"/>
      <c r="L58" s="64"/>
      <c r="M58" s="64"/>
      <c r="N58" s="64"/>
      <c r="O58" s="65"/>
      <c r="T58" s="63"/>
      <c r="U58" s="64"/>
      <c r="V58" s="64"/>
      <c r="W58" s="64"/>
      <c r="X58" s="64"/>
      <c r="Y58" s="64"/>
      <c r="Z58" s="64"/>
      <c r="AA58" s="64"/>
      <c r="AB58" s="64"/>
      <c r="AC58" s="64"/>
      <c r="AD58" s="64"/>
      <c r="AE58" s="64"/>
      <c r="AF58" s="65"/>
      <c r="AK58" s="63"/>
      <c r="AL58" s="64"/>
      <c r="AM58" s="64"/>
      <c r="AN58" s="64"/>
      <c r="AO58" s="64"/>
      <c r="AP58" s="64"/>
      <c r="AQ58" s="64"/>
      <c r="AR58" s="64"/>
      <c r="AS58" s="64"/>
      <c r="AT58" s="64"/>
      <c r="AU58" s="64"/>
      <c r="AV58" s="64"/>
      <c r="AW58" s="65"/>
      <c r="BB58" s="63"/>
      <c r="BC58" s="64"/>
      <c r="BD58" s="64"/>
      <c r="BE58" s="64"/>
      <c r="BF58" s="64"/>
      <c r="BG58" s="64"/>
      <c r="BH58" s="64"/>
      <c r="BI58" s="64"/>
      <c r="BJ58" s="64"/>
      <c r="BK58" s="64"/>
      <c r="BL58" s="64"/>
      <c r="BM58" s="64"/>
      <c r="BN58" s="65"/>
    </row>
    <row r="59" spans="3:66">
      <c r="C59" s="66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8"/>
      <c r="T59" s="66"/>
      <c r="U59" s="67"/>
      <c r="V59" s="67"/>
      <c r="W59" s="67"/>
      <c r="X59" s="67"/>
      <c r="Y59" s="67"/>
      <c r="Z59" s="67"/>
      <c r="AA59" s="67"/>
      <c r="AB59" s="67"/>
      <c r="AC59" s="67"/>
      <c r="AD59" s="67"/>
      <c r="AE59" s="67"/>
      <c r="AF59" s="68"/>
      <c r="AK59" s="66"/>
      <c r="AL59" s="67"/>
      <c r="AM59" s="67"/>
      <c r="AN59" s="67"/>
      <c r="AO59" s="67"/>
      <c r="AP59" s="67"/>
      <c r="AQ59" s="67"/>
      <c r="AR59" s="67"/>
      <c r="AS59" s="67"/>
      <c r="AT59" s="67"/>
      <c r="AU59" s="67"/>
      <c r="AV59" s="67"/>
      <c r="AW59" s="68"/>
      <c r="BB59" s="66"/>
      <c r="BC59" s="67"/>
      <c r="BD59" s="67"/>
      <c r="BE59" s="67"/>
      <c r="BF59" s="67"/>
      <c r="BG59" s="67"/>
      <c r="BH59" s="67"/>
      <c r="BI59" s="67"/>
      <c r="BJ59" s="67"/>
      <c r="BK59" s="67"/>
      <c r="BL59" s="67"/>
      <c r="BM59" s="67"/>
      <c r="BN59" s="68"/>
    </row>
    <row r="60" spans="3:66">
      <c r="C60" s="66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8"/>
      <c r="T60" s="66"/>
      <c r="U60" s="67"/>
      <c r="V60" s="67"/>
      <c r="W60" s="67"/>
      <c r="X60" s="67"/>
      <c r="Y60" s="67"/>
      <c r="Z60" s="67"/>
      <c r="AA60" s="67"/>
      <c r="AB60" s="67"/>
      <c r="AC60" s="67"/>
      <c r="AD60" s="67"/>
      <c r="AE60" s="67"/>
      <c r="AF60" s="68"/>
      <c r="AK60" s="66"/>
      <c r="AL60" s="67"/>
      <c r="AM60" s="67"/>
      <c r="AN60" s="67"/>
      <c r="AO60" s="67"/>
      <c r="AP60" s="67"/>
      <c r="AQ60" s="67"/>
      <c r="AR60" s="67"/>
      <c r="AS60" s="67"/>
      <c r="AT60" s="67"/>
      <c r="AU60" s="67"/>
      <c r="AV60" s="67"/>
      <c r="AW60" s="68"/>
      <c r="BB60" s="66"/>
      <c r="BC60" s="67"/>
      <c r="BD60" s="67"/>
      <c r="BE60" s="67"/>
      <c r="BF60" s="67"/>
      <c r="BG60" s="67"/>
      <c r="BH60" s="67"/>
      <c r="BI60" s="67"/>
      <c r="BJ60" s="67"/>
      <c r="BK60" s="67"/>
      <c r="BL60" s="67"/>
      <c r="BM60" s="67"/>
      <c r="BN60" s="68"/>
    </row>
    <row r="61" spans="3:66">
      <c r="C61" s="66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8"/>
      <c r="T61" s="66"/>
      <c r="U61" s="67"/>
      <c r="V61" s="67"/>
      <c r="W61" s="67"/>
      <c r="X61" s="67"/>
      <c r="Y61" s="67"/>
      <c r="Z61" s="67"/>
      <c r="AA61" s="67"/>
      <c r="AB61" s="67"/>
      <c r="AC61" s="67"/>
      <c r="AD61" s="67"/>
      <c r="AE61" s="67"/>
      <c r="AF61" s="68"/>
      <c r="AK61" s="66"/>
      <c r="AL61" s="67"/>
      <c r="AM61" s="67"/>
      <c r="AN61" s="67"/>
      <c r="AO61" s="67"/>
      <c r="AP61" s="67"/>
      <c r="AQ61" s="67"/>
      <c r="AR61" s="67"/>
      <c r="AS61" s="67"/>
      <c r="AT61" s="67"/>
      <c r="AU61" s="67"/>
      <c r="AV61" s="67"/>
      <c r="AW61" s="68"/>
      <c r="BB61" s="66"/>
      <c r="BC61" s="67"/>
      <c r="BD61" s="67"/>
      <c r="BE61" s="67"/>
      <c r="BF61" s="67"/>
      <c r="BG61" s="67"/>
      <c r="BH61" s="67"/>
      <c r="BI61" s="67"/>
      <c r="BJ61" s="67"/>
      <c r="BK61" s="67"/>
      <c r="BL61" s="67"/>
      <c r="BM61" s="67"/>
      <c r="BN61" s="68"/>
    </row>
    <row r="62" spans="3:66">
      <c r="C62" s="66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8"/>
      <c r="T62" s="66"/>
      <c r="U62" s="67"/>
      <c r="V62" s="67"/>
      <c r="W62" s="67"/>
      <c r="X62" s="67"/>
      <c r="Y62" s="67"/>
      <c r="Z62" s="67"/>
      <c r="AA62" s="67"/>
      <c r="AB62" s="67"/>
      <c r="AC62" s="67"/>
      <c r="AD62" s="67"/>
      <c r="AE62" s="67"/>
      <c r="AF62" s="68"/>
      <c r="AK62" s="66"/>
      <c r="AL62" s="67"/>
      <c r="AM62" s="67"/>
      <c r="AN62" s="67"/>
      <c r="AO62" s="67"/>
      <c r="AP62" s="67"/>
      <c r="AQ62" s="67"/>
      <c r="AR62" s="67"/>
      <c r="AS62" s="67"/>
      <c r="AT62" s="67"/>
      <c r="AU62" s="67"/>
      <c r="AV62" s="67"/>
      <c r="AW62" s="68"/>
      <c r="BB62" s="66"/>
      <c r="BC62" s="67"/>
      <c r="BD62" s="67"/>
      <c r="BE62" s="67"/>
      <c r="BF62" s="67"/>
      <c r="BG62" s="67"/>
      <c r="BH62" s="67"/>
      <c r="BI62" s="67"/>
      <c r="BJ62" s="67"/>
      <c r="BK62" s="67"/>
      <c r="BL62" s="67"/>
      <c r="BM62" s="67"/>
      <c r="BN62" s="68"/>
    </row>
    <row r="63" spans="3:66">
      <c r="C63" s="66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8"/>
      <c r="T63" s="66"/>
      <c r="U63" s="67"/>
      <c r="V63" s="67"/>
      <c r="W63" s="67"/>
      <c r="X63" s="67"/>
      <c r="Y63" s="67"/>
      <c r="Z63" s="67"/>
      <c r="AA63" s="67"/>
      <c r="AB63" s="67"/>
      <c r="AC63" s="67"/>
      <c r="AD63" s="67"/>
      <c r="AE63" s="67"/>
      <c r="AF63" s="68"/>
      <c r="AK63" s="66"/>
      <c r="AL63" s="67"/>
      <c r="AM63" s="67"/>
      <c r="AN63" s="67"/>
      <c r="AO63" s="67"/>
      <c r="AP63" s="67"/>
      <c r="AQ63" s="67"/>
      <c r="AR63" s="67"/>
      <c r="AS63" s="67"/>
      <c r="AT63" s="67"/>
      <c r="AU63" s="67"/>
      <c r="AV63" s="67"/>
      <c r="AW63" s="68"/>
      <c r="BB63" s="66"/>
      <c r="BC63" s="67"/>
      <c r="BD63" s="67"/>
      <c r="BE63" s="67"/>
      <c r="BF63" s="67"/>
      <c r="BG63" s="67"/>
      <c r="BH63" s="67"/>
      <c r="BI63" s="67"/>
      <c r="BJ63" s="67"/>
      <c r="BK63" s="67"/>
      <c r="BL63" s="67"/>
      <c r="BM63" s="67"/>
      <c r="BN63" s="68"/>
    </row>
    <row r="64" spans="3:66">
      <c r="C64" s="66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8"/>
      <c r="T64" s="66"/>
      <c r="U64" s="67"/>
      <c r="V64" s="67"/>
      <c r="W64" s="67"/>
      <c r="X64" s="67"/>
      <c r="Y64" s="67"/>
      <c r="Z64" s="67"/>
      <c r="AA64" s="67"/>
      <c r="AB64" s="67"/>
      <c r="AC64" s="67"/>
      <c r="AD64" s="67"/>
      <c r="AE64" s="67"/>
      <c r="AF64" s="68"/>
      <c r="AK64" s="66"/>
      <c r="AL64" s="67"/>
      <c r="AM64" s="67"/>
      <c r="AN64" s="67"/>
      <c r="AO64" s="67"/>
      <c r="AP64" s="67"/>
      <c r="AQ64" s="67"/>
      <c r="AR64" s="67"/>
      <c r="AS64" s="67"/>
      <c r="AT64" s="67"/>
      <c r="AU64" s="67"/>
      <c r="AV64" s="67"/>
      <c r="AW64" s="68"/>
      <c r="BB64" s="66"/>
      <c r="BC64" s="67"/>
      <c r="BD64" s="67"/>
      <c r="BE64" s="67"/>
      <c r="BF64" s="67"/>
      <c r="BG64" s="67"/>
      <c r="BH64" s="67"/>
      <c r="BI64" s="67"/>
      <c r="BJ64" s="67"/>
      <c r="BK64" s="67"/>
      <c r="BL64" s="67"/>
      <c r="BM64" s="67"/>
      <c r="BN64" s="68"/>
    </row>
    <row r="65" spans="3:66">
      <c r="C65" s="66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8"/>
      <c r="T65" s="66"/>
      <c r="U65" s="67"/>
      <c r="V65" s="67"/>
      <c r="W65" s="67"/>
      <c r="X65" s="67"/>
      <c r="Y65" s="67"/>
      <c r="Z65" s="67"/>
      <c r="AA65" s="67"/>
      <c r="AB65" s="67"/>
      <c r="AC65" s="67"/>
      <c r="AD65" s="67"/>
      <c r="AE65" s="67"/>
      <c r="AF65" s="68"/>
      <c r="AK65" s="66"/>
      <c r="AL65" s="67"/>
      <c r="AM65" s="67"/>
      <c r="AN65" s="67"/>
      <c r="AO65" s="67"/>
      <c r="AP65" s="67"/>
      <c r="AQ65" s="67"/>
      <c r="AR65" s="67"/>
      <c r="AS65" s="67"/>
      <c r="AT65" s="67"/>
      <c r="AU65" s="67"/>
      <c r="AV65" s="67"/>
      <c r="AW65" s="68"/>
      <c r="BB65" s="66"/>
      <c r="BC65" s="67"/>
      <c r="BD65" s="67"/>
      <c r="BE65" s="67"/>
      <c r="BF65" s="67"/>
      <c r="BG65" s="67"/>
      <c r="BH65" s="67"/>
      <c r="BI65" s="67"/>
      <c r="BJ65" s="67"/>
      <c r="BK65" s="67"/>
      <c r="BL65" s="67"/>
      <c r="BM65" s="67"/>
      <c r="BN65" s="68"/>
    </row>
    <row r="66" spans="3:66">
      <c r="C66" s="66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8"/>
      <c r="T66" s="66"/>
      <c r="U66" s="67"/>
      <c r="V66" s="67"/>
      <c r="W66" s="67"/>
      <c r="X66" s="67"/>
      <c r="Y66" s="67"/>
      <c r="Z66" s="67"/>
      <c r="AA66" s="67"/>
      <c r="AB66" s="67"/>
      <c r="AC66" s="67"/>
      <c r="AD66" s="67"/>
      <c r="AE66" s="67"/>
      <c r="AF66" s="68"/>
      <c r="AK66" s="66"/>
      <c r="AL66" s="67"/>
      <c r="AM66" s="67"/>
      <c r="AN66" s="67"/>
      <c r="AO66" s="67"/>
      <c r="AP66" s="67"/>
      <c r="AQ66" s="67"/>
      <c r="AR66" s="67"/>
      <c r="AS66" s="67"/>
      <c r="AT66" s="67"/>
      <c r="AU66" s="67"/>
      <c r="AV66" s="67"/>
      <c r="AW66" s="68"/>
      <c r="BB66" s="66"/>
      <c r="BC66" s="67"/>
      <c r="BD66" s="67"/>
      <c r="BE66" s="67"/>
      <c r="BF66" s="67"/>
      <c r="BG66" s="67"/>
      <c r="BH66" s="67"/>
      <c r="BI66" s="67"/>
      <c r="BJ66" s="67"/>
      <c r="BK66" s="67"/>
      <c r="BL66" s="67"/>
      <c r="BM66" s="67"/>
      <c r="BN66" s="68"/>
    </row>
    <row r="67" spans="3:66">
      <c r="C67" s="66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8"/>
      <c r="T67" s="66"/>
      <c r="U67" s="67"/>
      <c r="V67" s="67"/>
      <c r="W67" s="67"/>
      <c r="X67" s="67"/>
      <c r="Y67" s="67"/>
      <c r="Z67" s="67"/>
      <c r="AA67" s="67"/>
      <c r="AB67" s="67"/>
      <c r="AC67" s="67"/>
      <c r="AD67" s="67"/>
      <c r="AE67" s="67"/>
      <c r="AF67" s="68"/>
      <c r="AK67" s="66"/>
      <c r="AL67" s="67"/>
      <c r="AM67" s="67"/>
      <c r="AN67" s="67"/>
      <c r="AO67" s="67"/>
      <c r="AP67" s="67"/>
      <c r="AQ67" s="67"/>
      <c r="AR67" s="67"/>
      <c r="AS67" s="67"/>
      <c r="AT67" s="67"/>
      <c r="AU67" s="67"/>
      <c r="AV67" s="67"/>
      <c r="AW67" s="68"/>
      <c r="BB67" s="66"/>
      <c r="BC67" s="67"/>
      <c r="BD67" s="67"/>
      <c r="BE67" s="67"/>
      <c r="BF67" s="67"/>
      <c r="BG67" s="67"/>
      <c r="BH67" s="67"/>
      <c r="BI67" s="67"/>
      <c r="BJ67" s="67"/>
      <c r="BK67" s="67"/>
      <c r="BL67" s="67"/>
      <c r="BM67" s="67"/>
      <c r="BN67" s="68"/>
    </row>
    <row r="68" spans="3:66">
      <c r="C68" s="66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8"/>
      <c r="T68" s="66"/>
      <c r="U68" s="67"/>
      <c r="V68" s="67"/>
      <c r="W68" s="67"/>
      <c r="X68" s="67"/>
      <c r="Y68" s="67"/>
      <c r="Z68" s="67"/>
      <c r="AA68" s="67"/>
      <c r="AB68" s="67"/>
      <c r="AC68" s="67"/>
      <c r="AD68" s="67"/>
      <c r="AE68" s="67"/>
      <c r="AF68" s="68"/>
      <c r="AK68" s="66"/>
      <c r="AL68" s="67"/>
      <c r="AM68" s="67"/>
      <c r="AN68" s="67"/>
      <c r="AO68" s="67"/>
      <c r="AP68" s="67"/>
      <c r="AQ68" s="67"/>
      <c r="AR68" s="67"/>
      <c r="AS68" s="67"/>
      <c r="AT68" s="67"/>
      <c r="AU68" s="67"/>
      <c r="AV68" s="67"/>
      <c r="AW68" s="68"/>
      <c r="BB68" s="66"/>
      <c r="BC68" s="67"/>
      <c r="BD68" s="67"/>
      <c r="BE68" s="67"/>
      <c r="BF68" s="67"/>
      <c r="BG68" s="67"/>
      <c r="BH68" s="67"/>
      <c r="BI68" s="67"/>
      <c r="BJ68" s="67"/>
      <c r="BK68" s="67"/>
      <c r="BL68" s="67"/>
      <c r="BM68" s="67"/>
      <c r="BN68" s="68"/>
    </row>
    <row r="69" spans="3:66">
      <c r="C69" s="66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8"/>
      <c r="T69" s="66"/>
      <c r="U69" s="67"/>
      <c r="V69" s="67"/>
      <c r="W69" s="67"/>
      <c r="X69" s="67"/>
      <c r="Y69" s="67"/>
      <c r="Z69" s="67"/>
      <c r="AA69" s="67"/>
      <c r="AB69" s="67"/>
      <c r="AC69" s="67"/>
      <c r="AD69" s="67"/>
      <c r="AE69" s="67"/>
      <c r="AF69" s="68"/>
      <c r="AK69" s="66"/>
      <c r="AL69" s="67"/>
      <c r="AM69" s="67"/>
      <c r="AN69" s="67"/>
      <c r="AO69" s="67"/>
      <c r="AP69" s="67"/>
      <c r="AQ69" s="67"/>
      <c r="AR69" s="67"/>
      <c r="AS69" s="67"/>
      <c r="AT69" s="67"/>
      <c r="AU69" s="67"/>
      <c r="AV69" s="67"/>
      <c r="AW69" s="68"/>
      <c r="BB69" s="66"/>
      <c r="BC69" s="67"/>
      <c r="BD69" s="67"/>
      <c r="BE69" s="67"/>
      <c r="BF69" s="67"/>
      <c r="BG69" s="67"/>
      <c r="BH69" s="67"/>
      <c r="BI69" s="67"/>
      <c r="BJ69" s="67"/>
      <c r="BK69" s="67"/>
      <c r="BL69" s="67"/>
      <c r="BM69" s="67"/>
      <c r="BN69" s="68"/>
    </row>
    <row r="70" spans="3:66">
      <c r="C70" s="66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8"/>
      <c r="T70" s="66"/>
      <c r="U70" s="67"/>
      <c r="V70" s="67"/>
      <c r="W70" s="67"/>
      <c r="X70" s="67"/>
      <c r="Y70" s="67"/>
      <c r="Z70" s="67"/>
      <c r="AA70" s="67"/>
      <c r="AB70" s="67"/>
      <c r="AC70" s="67"/>
      <c r="AD70" s="67"/>
      <c r="AE70" s="67"/>
      <c r="AF70" s="68"/>
      <c r="AK70" s="66"/>
      <c r="AL70" s="67"/>
      <c r="AM70" s="67"/>
      <c r="AN70" s="67"/>
      <c r="AO70" s="67"/>
      <c r="AP70" s="67"/>
      <c r="AQ70" s="67"/>
      <c r="AR70" s="67"/>
      <c r="AS70" s="67"/>
      <c r="AT70" s="67"/>
      <c r="AU70" s="67"/>
      <c r="AV70" s="67"/>
      <c r="AW70" s="68"/>
      <c r="BB70" s="66"/>
      <c r="BC70" s="67"/>
      <c r="BD70" s="67"/>
      <c r="BE70" s="67"/>
      <c r="BF70" s="67"/>
      <c r="BG70" s="67"/>
      <c r="BH70" s="67"/>
      <c r="BI70" s="67"/>
      <c r="BJ70" s="67"/>
      <c r="BK70" s="67"/>
      <c r="BL70" s="67"/>
      <c r="BM70" s="67"/>
      <c r="BN70" s="68"/>
    </row>
    <row r="71" spans="3:66">
      <c r="C71" s="66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8"/>
      <c r="T71" s="66"/>
      <c r="U71" s="67"/>
      <c r="V71" s="67"/>
      <c r="W71" s="67"/>
      <c r="X71" s="67"/>
      <c r="Y71" s="67"/>
      <c r="Z71" s="67"/>
      <c r="AA71" s="67"/>
      <c r="AB71" s="67"/>
      <c r="AC71" s="67"/>
      <c r="AD71" s="67"/>
      <c r="AE71" s="67"/>
      <c r="AF71" s="68"/>
      <c r="AK71" s="66"/>
      <c r="AL71" s="67"/>
      <c r="AM71" s="67"/>
      <c r="AN71" s="67"/>
      <c r="AO71" s="67"/>
      <c r="AP71" s="67"/>
      <c r="AQ71" s="67"/>
      <c r="AR71" s="67"/>
      <c r="AS71" s="67"/>
      <c r="AT71" s="67"/>
      <c r="AU71" s="67"/>
      <c r="AV71" s="67"/>
      <c r="AW71" s="68"/>
      <c r="BB71" s="66"/>
      <c r="BC71" s="67"/>
      <c r="BD71" s="67"/>
      <c r="BE71" s="67"/>
      <c r="BF71" s="67"/>
      <c r="BG71" s="67"/>
      <c r="BH71" s="67"/>
      <c r="BI71" s="67"/>
      <c r="BJ71" s="67"/>
      <c r="BK71" s="67"/>
      <c r="BL71" s="67"/>
      <c r="BM71" s="67"/>
      <c r="BN71" s="68"/>
    </row>
    <row r="72" spans="3:66">
      <c r="C72" s="66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8"/>
      <c r="T72" s="66"/>
      <c r="U72" s="67"/>
      <c r="V72" s="67"/>
      <c r="W72" s="67"/>
      <c r="X72" s="67"/>
      <c r="Y72" s="67"/>
      <c r="Z72" s="67"/>
      <c r="AA72" s="67"/>
      <c r="AB72" s="67"/>
      <c r="AC72" s="67"/>
      <c r="AD72" s="67"/>
      <c r="AE72" s="67"/>
      <c r="AF72" s="68"/>
      <c r="AK72" s="66"/>
      <c r="AL72" s="67"/>
      <c r="AM72" s="67"/>
      <c r="AN72" s="67"/>
      <c r="AO72" s="67"/>
      <c r="AP72" s="67"/>
      <c r="AQ72" s="67"/>
      <c r="AR72" s="67"/>
      <c r="AS72" s="67"/>
      <c r="AT72" s="67"/>
      <c r="AU72" s="67"/>
      <c r="AV72" s="67"/>
      <c r="AW72" s="68"/>
      <c r="BB72" s="66"/>
      <c r="BC72" s="67"/>
      <c r="BD72" s="67"/>
      <c r="BE72" s="67"/>
      <c r="BF72" s="67"/>
      <c r="BG72" s="67"/>
      <c r="BH72" s="67"/>
      <c r="BI72" s="67"/>
      <c r="BJ72" s="67"/>
      <c r="BK72" s="67"/>
      <c r="BL72" s="67"/>
      <c r="BM72" s="67"/>
      <c r="BN72" s="68"/>
    </row>
    <row r="73" spans="3:66">
      <c r="C73" s="66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8"/>
      <c r="T73" s="66"/>
      <c r="U73" s="67"/>
      <c r="V73" s="67"/>
      <c r="W73" s="67"/>
      <c r="X73" s="67"/>
      <c r="Y73" s="67"/>
      <c r="Z73" s="67"/>
      <c r="AA73" s="67"/>
      <c r="AB73" s="67"/>
      <c r="AC73" s="67"/>
      <c r="AD73" s="67"/>
      <c r="AE73" s="67"/>
      <c r="AF73" s="68"/>
      <c r="AK73" s="66"/>
      <c r="AL73" s="67"/>
      <c r="AM73" s="67"/>
      <c r="AN73" s="67"/>
      <c r="AO73" s="67"/>
      <c r="AP73" s="67"/>
      <c r="AQ73" s="67"/>
      <c r="AR73" s="67"/>
      <c r="AS73" s="67"/>
      <c r="AT73" s="67"/>
      <c r="AU73" s="67"/>
      <c r="AV73" s="67"/>
      <c r="AW73" s="68"/>
      <c r="BB73" s="66"/>
      <c r="BC73" s="67"/>
      <c r="BD73" s="67"/>
      <c r="BE73" s="67"/>
      <c r="BF73" s="67"/>
      <c r="BG73" s="67"/>
      <c r="BH73" s="67"/>
      <c r="BI73" s="67"/>
      <c r="BJ73" s="67"/>
      <c r="BK73" s="67"/>
      <c r="BL73" s="67"/>
      <c r="BM73" s="67"/>
      <c r="BN73" s="68"/>
    </row>
    <row r="74" spans="3:66">
      <c r="C74" s="66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8"/>
      <c r="T74" s="66"/>
      <c r="U74" s="67"/>
      <c r="V74" s="67"/>
      <c r="W74" s="67"/>
      <c r="X74" s="67"/>
      <c r="Y74" s="67"/>
      <c r="Z74" s="67"/>
      <c r="AA74" s="67"/>
      <c r="AB74" s="67"/>
      <c r="AC74" s="67"/>
      <c r="AD74" s="67"/>
      <c r="AE74" s="67"/>
      <c r="AF74" s="68"/>
      <c r="AK74" s="66"/>
      <c r="AL74" s="67"/>
      <c r="AM74" s="67"/>
      <c r="AN74" s="67"/>
      <c r="AO74" s="67"/>
      <c r="AP74" s="67"/>
      <c r="AQ74" s="67"/>
      <c r="AR74" s="67"/>
      <c r="AS74" s="67"/>
      <c r="AT74" s="67"/>
      <c r="AU74" s="67"/>
      <c r="AV74" s="67"/>
      <c r="AW74" s="68"/>
      <c r="BB74" s="66"/>
      <c r="BC74" s="67"/>
      <c r="BD74" s="67"/>
      <c r="BE74" s="67"/>
      <c r="BF74" s="67"/>
      <c r="BG74" s="67"/>
      <c r="BH74" s="67"/>
      <c r="BI74" s="67"/>
      <c r="BJ74" s="67"/>
      <c r="BK74" s="67"/>
      <c r="BL74" s="67"/>
      <c r="BM74" s="67"/>
      <c r="BN74" s="68"/>
    </row>
    <row r="75" spans="3:66">
      <c r="C75" s="66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8"/>
      <c r="T75" s="66"/>
      <c r="U75" s="67"/>
      <c r="V75" s="67"/>
      <c r="W75" s="67"/>
      <c r="X75" s="67"/>
      <c r="Y75" s="67"/>
      <c r="Z75" s="67"/>
      <c r="AA75" s="67"/>
      <c r="AB75" s="67"/>
      <c r="AC75" s="67"/>
      <c r="AD75" s="67"/>
      <c r="AE75" s="67"/>
      <c r="AF75" s="68"/>
      <c r="AK75" s="66"/>
      <c r="AL75" s="67"/>
      <c r="AM75" s="67"/>
      <c r="AN75" s="67"/>
      <c r="AO75" s="67"/>
      <c r="AP75" s="67"/>
      <c r="AQ75" s="67"/>
      <c r="AR75" s="67"/>
      <c r="AS75" s="67"/>
      <c r="AT75" s="67"/>
      <c r="AU75" s="67"/>
      <c r="AV75" s="67"/>
      <c r="AW75" s="68"/>
      <c r="BB75" s="66"/>
      <c r="BC75" s="67"/>
      <c r="BD75" s="67"/>
      <c r="BE75" s="67"/>
      <c r="BF75" s="67"/>
      <c r="BG75" s="67"/>
      <c r="BH75" s="67"/>
      <c r="BI75" s="67"/>
      <c r="BJ75" s="67"/>
      <c r="BK75" s="67"/>
      <c r="BL75" s="67"/>
      <c r="BM75" s="67"/>
      <c r="BN75" s="68"/>
    </row>
    <row r="76" spans="3:66">
      <c r="C76" s="66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8"/>
      <c r="T76" s="66"/>
      <c r="U76" s="67"/>
      <c r="V76" s="67"/>
      <c r="W76" s="67"/>
      <c r="X76" s="67"/>
      <c r="Y76" s="67"/>
      <c r="Z76" s="67"/>
      <c r="AA76" s="67"/>
      <c r="AB76" s="67"/>
      <c r="AC76" s="67"/>
      <c r="AD76" s="67"/>
      <c r="AE76" s="67"/>
      <c r="AF76" s="68"/>
      <c r="AK76" s="66"/>
      <c r="AL76" s="67"/>
      <c r="AM76" s="67"/>
      <c r="AN76" s="67"/>
      <c r="AO76" s="67"/>
      <c r="AP76" s="67"/>
      <c r="AQ76" s="67"/>
      <c r="AR76" s="67"/>
      <c r="AS76" s="67"/>
      <c r="AT76" s="67"/>
      <c r="AU76" s="67"/>
      <c r="AV76" s="67"/>
      <c r="AW76" s="68"/>
      <c r="BB76" s="66"/>
      <c r="BC76" s="67"/>
      <c r="BD76" s="67"/>
      <c r="BE76" s="67"/>
      <c r="BF76" s="67"/>
      <c r="BG76" s="67"/>
      <c r="BH76" s="67"/>
      <c r="BI76" s="67"/>
      <c r="BJ76" s="67"/>
      <c r="BK76" s="67"/>
      <c r="BL76" s="67"/>
      <c r="BM76" s="67"/>
      <c r="BN76" s="68"/>
    </row>
    <row r="77" spans="3:66">
      <c r="C77" s="69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1"/>
      <c r="T77" s="69"/>
      <c r="U77" s="70"/>
      <c r="V77" s="70"/>
      <c r="W77" s="70"/>
      <c r="X77" s="70"/>
      <c r="Y77" s="70"/>
      <c r="Z77" s="70"/>
      <c r="AA77" s="70"/>
      <c r="AB77" s="70"/>
      <c r="AC77" s="70"/>
      <c r="AD77" s="70"/>
      <c r="AE77" s="70"/>
      <c r="AF77" s="71"/>
      <c r="AK77" s="69"/>
      <c r="AL77" s="70"/>
      <c r="AM77" s="70"/>
      <c r="AN77" s="70"/>
      <c r="AO77" s="70"/>
      <c r="AP77" s="70"/>
      <c r="AQ77" s="70"/>
      <c r="AR77" s="70"/>
      <c r="AS77" s="70"/>
      <c r="AT77" s="70"/>
      <c r="AU77" s="70"/>
      <c r="AV77" s="70"/>
      <c r="AW77" s="71"/>
      <c r="BB77" s="69"/>
      <c r="BC77" s="70"/>
      <c r="BD77" s="70"/>
      <c r="BE77" s="70"/>
      <c r="BF77" s="70"/>
      <c r="BG77" s="70"/>
      <c r="BH77" s="70"/>
      <c r="BI77" s="70"/>
      <c r="BJ77" s="70"/>
      <c r="BK77" s="70"/>
      <c r="BL77" s="70"/>
      <c r="BM77" s="70"/>
      <c r="BN77" s="71"/>
    </row>
  </sheetData>
  <mergeCells count="33">
    <mergeCell ref="S10:U13"/>
    <mergeCell ref="B2:R7"/>
    <mergeCell ref="B10:D13"/>
    <mergeCell ref="E10:G13"/>
    <mergeCell ref="H10:J13"/>
    <mergeCell ref="K10:M13"/>
    <mergeCell ref="N10:P13"/>
    <mergeCell ref="V10:X13"/>
    <mergeCell ref="Y10:AA13"/>
    <mergeCell ref="AB10:AD13"/>
    <mergeCell ref="AE10:AG13"/>
    <mergeCell ref="AJ10:AL13"/>
    <mergeCell ref="C14:O33"/>
    <mergeCell ref="C36:O55"/>
    <mergeCell ref="C58:O77"/>
    <mergeCell ref="T14:AF33"/>
    <mergeCell ref="T36:AF55"/>
    <mergeCell ref="T58:AF77"/>
    <mergeCell ref="AK36:AW55"/>
    <mergeCell ref="BB36:BN55"/>
    <mergeCell ref="AK58:AW77"/>
    <mergeCell ref="BB58:BN77"/>
    <mergeCell ref="BJ10:BL13"/>
    <mergeCell ref="BM10:BO13"/>
    <mergeCell ref="AK14:AW33"/>
    <mergeCell ref="BB14:BN33"/>
    <mergeCell ref="AP10:AR13"/>
    <mergeCell ref="AS10:AU13"/>
    <mergeCell ref="AV10:AX13"/>
    <mergeCell ref="BA10:BC13"/>
    <mergeCell ref="BD10:BF13"/>
    <mergeCell ref="BG10:BI13"/>
    <mergeCell ref="AM10:AO1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Md Modassir</cp:lastModifiedBy>
  <cp:revision/>
  <dcterms:created xsi:type="dcterms:W3CDTF">2026-08-02T16:59:29Z</dcterms:created>
  <dcterms:modified xsi:type="dcterms:W3CDTF">2026-08-15T15:11:51Z</dcterms:modified>
  <cp:category/>
  <cp:contentStatus/>
</cp:coreProperties>
</file>